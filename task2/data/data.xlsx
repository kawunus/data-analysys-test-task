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tanislav/Documents/test-task-data-analisys/task2/data/"/>
    </mc:Choice>
  </mc:AlternateContent>
  <xr:revisionPtr revIDLastSave="0" documentId="13_ncr:1_{46A879A1-387A-D34C-B561-36252A3BE808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Месячные данные" sheetId="1" r:id="rId1"/>
    <sheet name="Годовые данные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J14" i="1"/>
  <c r="E5" i="2"/>
  <c r="F48" i="1" s="1"/>
  <c r="D5" i="2"/>
  <c r="E48" i="1" s="1"/>
  <c r="E4" i="2"/>
  <c r="F32" i="1" s="1"/>
  <c r="D4" i="2"/>
  <c r="E30" i="1" s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E49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E41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  <c r="F34" i="1" l="1"/>
  <c r="F30" i="1"/>
  <c r="F36" i="1"/>
  <c r="E44" i="1"/>
  <c r="E42" i="1"/>
  <c r="E46" i="1"/>
  <c r="E39" i="1"/>
  <c r="F31" i="1"/>
  <c r="E47" i="1"/>
  <c r="F45" i="1"/>
  <c r="F40" i="1"/>
  <c r="F43" i="1"/>
  <c r="F42" i="1"/>
  <c r="F46" i="1"/>
  <c r="F38" i="1"/>
  <c r="F49" i="1"/>
  <c r="F41" i="1"/>
  <c r="F44" i="1"/>
  <c r="F47" i="1"/>
  <c r="F39" i="1"/>
  <c r="F27" i="1"/>
  <c r="F29" i="1"/>
  <c r="E45" i="1"/>
  <c r="F33" i="1"/>
  <c r="F26" i="1"/>
  <c r="F37" i="1"/>
  <c r="E36" i="1"/>
  <c r="E40" i="1"/>
  <c r="F28" i="1"/>
  <c r="F35" i="1"/>
  <c r="E38" i="1"/>
  <c r="E43" i="1"/>
  <c r="E31" i="1"/>
  <c r="E34" i="1"/>
  <c r="E26" i="1"/>
  <c r="E29" i="1"/>
  <c r="E32" i="1"/>
  <c r="E28" i="1"/>
  <c r="E33" i="1"/>
  <c r="E27" i="1"/>
  <c r="E37" i="1"/>
  <c r="E35" i="1"/>
</calcChain>
</file>

<file path=xl/sharedStrings.xml><?xml version="1.0" encoding="utf-8"?>
<sst xmlns="http://schemas.openxmlformats.org/spreadsheetml/2006/main" count="195" uniqueCount="21">
  <si>
    <t>Год</t>
  </si>
  <si>
    <t>Месяц</t>
  </si>
  <si>
    <t>Импорт, т</t>
  </si>
  <si>
    <t>Импорт, тыс. долл. США</t>
  </si>
  <si>
    <t>Экспорт, т</t>
  </si>
  <si>
    <t>Экспорт, тыс. долл. США</t>
  </si>
  <si>
    <t>Импорт</t>
  </si>
  <si>
    <t>Экспорт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</si>
  <si>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</si>
  <si>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</si>
  <si>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</si>
  <si>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</si>
  <si>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</si>
  <si>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</si>
  <si>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</si>
  <si>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</si>
  <si>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</si>
  <si>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</si>
  <si>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</si>
  <si>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</si>
  <si>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 долей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</si>
</sst>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#,##0.0000"/>
    <numFmt numFmtId="167" formatCode="0.0%"/>
  </numFmts>
  <fonts count="6">
    <font>
      <sz val="11"/>
      <name val="Carlito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rlito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 applyAlignment="1">
      <alignment wrapText="1"/>
    </xf>
    <xf numFmtId="1" fontId="1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/>
    <xf numFmtId="166" fontId="1" fillId="0" borderId="0" xfId="1" applyNumberFormat="1" applyFont="1"/>
    <xf numFmtId="0" fontId="4" fillId="0" borderId="0" xfId="1" applyFont="1"/>
    <xf numFmtId="0" fontId="5" fillId="0" borderId="0" xfId="1" applyFont="1"/>
    <xf numFmtId="167" fontId="5" fillId="0" borderId="0" xfId="1" applyNumberFormat="1" applyFont="1"/>
    <xf numFmtId="167" fontId="4" fillId="0" borderId="0" xfId="1" applyNumberFormat="1" applyFont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workbookViewId="0">
      <selection activeCell="H53" sqref="H53"/>
    </sheetView>
  </sheetViews>
  <sheetFormatPr baseColWidth="10" defaultColWidth="8.83203125" defaultRowHeight="15"/>
  <cols>
    <col min="1" max="1" width="9" customWidth="1"/>
    <col min="2" max="2" width="14" customWidth="1"/>
    <col min="3" max="6" width="18" customWidth="1"/>
    <col min="7" max="7" width="3" customWidth="1"/>
    <col min="8" max="8" width="18" customWidth="1"/>
    <col min="9" max="10" width="13" customWidth="1"/>
  </cols>
  <sheetData>
    <row r="1" spans="1:10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7" t="s">
        <v>1</v>
      </c>
      <c r="I1" s="7" t="s">
        <v>6</v>
      </c>
      <c r="J1" s="7" t="s">
        <v>7</v>
      </c>
    </row>
    <row r="2" spans="1:10">
      <c r="A2" s="3">
        <v>2008</v>
      </c>
      <c r="B2" s="1" t="s">
        <v>8</v>
      </c>
      <c r="C2" s="4">
        <f>IF('Годовые данные'!$B$2="","",'Годовые данные'!$B$2*$I$2)</f>
        <v>40.139899999999997</v>
      </c>
      <c r="D2" s="5">
        <f>IF('Годовые данные'!$C$2="","",'Годовые данные'!$C$2*$I$2)</f>
        <v>7.4550000000000001</v>
      </c>
      <c r="E2" s="4">
        <f>IF('Годовые данные'!$D$2="","",'Годовые данные'!$D$2*$J$2)</f>
        <v>1.6060000000000001E-2</v>
      </c>
      <c r="F2" s="6">
        <f>IF('Годовые данные'!$E$2="","",'Годовые данные'!$E$2*$J$2)</f>
        <v>5.0000000000000001E-3</v>
      </c>
      <c r="G2" s="1"/>
      <c r="H2" s="8" t="s">
        <v>8</v>
      </c>
      <c r="I2" s="9">
        <v>0.01</v>
      </c>
      <c r="J2" s="9">
        <v>5.0000000000000001E-3</v>
      </c>
    </row>
    <row r="3" spans="1:10">
      <c r="A3" s="3">
        <v>2008</v>
      </c>
      <c r="B3" s="1" t="s">
        <v>9</v>
      </c>
      <c r="C3" s="4">
        <f>IF('Годовые данные'!$B$2="","",'Годовые данные'!$B$2*$I$3)</f>
        <v>40.139899999999997</v>
      </c>
      <c r="D3" s="5">
        <f>IF('Годовые данные'!$C$2="","",'Годовые данные'!$C$2*$I$3)</f>
        <v>7.4550000000000001</v>
      </c>
      <c r="E3" s="4">
        <f>IF('Годовые данные'!$D$2="","",'Годовые данные'!$D$2*$J$3)</f>
        <v>1.6060000000000001E-2</v>
      </c>
      <c r="F3" s="6">
        <f>IF('Годовые данные'!$E$2="","",'Годовые данные'!$E$2*$J$3)</f>
        <v>5.0000000000000001E-3</v>
      </c>
      <c r="G3" s="1"/>
      <c r="H3" s="8" t="s">
        <v>9</v>
      </c>
      <c r="I3" s="9">
        <v>0.01</v>
      </c>
      <c r="J3" s="9">
        <v>5.0000000000000001E-3</v>
      </c>
    </row>
    <row r="4" spans="1:10">
      <c r="A4" s="3">
        <v>2008</v>
      </c>
      <c r="B4" s="1" t="s">
        <v>10</v>
      </c>
      <c r="C4" s="4">
        <f>IF('Годовые данные'!$B$2="","",'Годовые данные'!$B$2*$I$4)</f>
        <v>80.279799999999994</v>
      </c>
      <c r="D4" s="5">
        <f>IF('Годовые данные'!$C$2="","",'Годовые данные'!$C$2*$I$4)</f>
        <v>14.91</v>
      </c>
      <c r="E4" s="4">
        <f>IF('Годовые данные'!$D$2="","",'Годовые данные'!$D$2*$J$4)</f>
        <v>3.2120000000000003E-2</v>
      </c>
      <c r="F4" s="6">
        <f>IF('Годовые данные'!$E$2="","",'Годовые данные'!$E$2*$J$4)</f>
        <v>0.01</v>
      </c>
      <c r="G4" s="1"/>
      <c r="H4" s="8" t="s">
        <v>10</v>
      </c>
      <c r="I4" s="9">
        <v>0.02</v>
      </c>
      <c r="J4" s="9">
        <v>0.01</v>
      </c>
    </row>
    <row r="5" spans="1:10">
      <c r="A5" s="3">
        <v>2008</v>
      </c>
      <c r="B5" s="1" t="s">
        <v>11</v>
      </c>
      <c r="C5" s="4">
        <f>IF('Годовые данные'!$B$2="","",'Годовые данные'!$B$2*$I$5)</f>
        <v>160.55959999999999</v>
      </c>
      <c r="D5" s="5">
        <f>IF('Годовые данные'!$C$2="","",'Годовые данные'!$C$2*$I$5)</f>
        <v>29.82</v>
      </c>
      <c r="E5" s="4">
        <f>IF('Годовые данные'!$D$2="","",'Годовые данные'!$D$2*$J$5)</f>
        <v>3.2120000000000003E-2</v>
      </c>
      <c r="F5" s="6">
        <f>IF('Годовые данные'!$E$2="","",'Годовые данные'!$E$2*$J$5)</f>
        <v>0.01</v>
      </c>
      <c r="G5" s="1"/>
      <c r="H5" s="8" t="s">
        <v>11</v>
      </c>
      <c r="I5" s="9">
        <v>0.04</v>
      </c>
      <c r="J5" s="9">
        <v>0.01</v>
      </c>
    </row>
    <row r="6" spans="1:10">
      <c r="A6" s="3">
        <v>2008</v>
      </c>
      <c r="B6" s="1" t="s">
        <v>12</v>
      </c>
      <c r="C6" s="4">
        <f>IF('Годовые данные'!$B$2="","",'Годовые данные'!$B$2*$I$6)</f>
        <v>401.399</v>
      </c>
      <c r="D6" s="5">
        <f>IF('Годовые данные'!$C$2="","",'Годовые данные'!$C$2*$I$6)</f>
        <v>74.55</v>
      </c>
      <c r="E6" s="4">
        <f>IF('Годовые данные'!$D$2="","",'Годовые данные'!$D$2*$J$6)</f>
        <v>6.4240000000000005E-2</v>
      </c>
      <c r="F6" s="6">
        <f>IF('Годовые данные'!$E$2="","",'Годовые данные'!$E$2*$J$6)</f>
        <v>0.02</v>
      </c>
      <c r="G6" s="1"/>
      <c r="H6" s="8" t="s">
        <v>12</v>
      </c>
      <c r="I6" s="9">
        <v>0.1</v>
      </c>
      <c r="J6" s="9">
        <v>0.02</v>
      </c>
    </row>
    <row r="7" spans="1:10">
      <c r="A7" s="3">
        <v>2008</v>
      </c>
      <c r="B7" s="1" t="s">
        <v>13</v>
      </c>
      <c r="C7" s="4">
        <f>IF('Годовые данные'!$B$2="","",'Годовые данные'!$B$2*$I$7)</f>
        <v>722.51819999999998</v>
      </c>
      <c r="D7" s="5">
        <f>IF('Годовые данные'!$C$2="","",'Годовые данные'!$C$2*$I$7)</f>
        <v>134.19</v>
      </c>
      <c r="E7" s="4">
        <f>IF('Годовые данные'!$D$2="","",'Годовые данные'!$D$2*$J$7)</f>
        <v>0.12848000000000001</v>
      </c>
      <c r="F7" s="6">
        <f>IF('Годовые данные'!$E$2="","",'Годовые данные'!$E$2*$J$7)</f>
        <v>0.04</v>
      </c>
      <c r="G7" s="1"/>
      <c r="H7" s="8" t="s">
        <v>13</v>
      </c>
      <c r="I7" s="9">
        <v>0.18</v>
      </c>
      <c r="J7" s="9">
        <v>0.04</v>
      </c>
    </row>
    <row r="8" spans="1:10">
      <c r="A8" s="3">
        <v>2008</v>
      </c>
      <c r="B8" s="1" t="s">
        <v>14</v>
      </c>
      <c r="C8" s="4">
        <f>IF('Годовые данные'!$B$2="","",'Годовые данные'!$B$2*$I$8)</f>
        <v>883.07779999999991</v>
      </c>
      <c r="D8" s="5">
        <f>IF('Годовые данные'!$C$2="","",'Годовые данные'!$C$2*$I$8)</f>
        <v>164.01</v>
      </c>
      <c r="E8" s="4">
        <f>IF('Годовые данные'!$D$2="","",'Годовые данные'!$D$2*$J$8)</f>
        <v>0.38544</v>
      </c>
      <c r="F8" s="6">
        <f>IF('Годовые данные'!$E$2="","",'Годовые данные'!$E$2*$J$8)</f>
        <v>0.12</v>
      </c>
      <c r="G8" s="1"/>
      <c r="H8" s="8" t="s">
        <v>14</v>
      </c>
      <c r="I8" s="9">
        <v>0.22</v>
      </c>
      <c r="J8" s="9">
        <v>0.12</v>
      </c>
    </row>
    <row r="9" spans="1:10">
      <c r="A9" s="3">
        <v>2008</v>
      </c>
      <c r="B9" s="1" t="s">
        <v>15</v>
      </c>
      <c r="C9" s="4">
        <f>IF('Годовые данные'!$B$2="","",'Годовые данные'!$B$2*$I$9)</f>
        <v>762.65809999999999</v>
      </c>
      <c r="D9" s="5">
        <f>IF('Годовые данные'!$C$2="","",'Годовые данные'!$C$2*$I$9)</f>
        <v>141.64500000000001</v>
      </c>
      <c r="E9" s="4">
        <f>IF('Годовые данные'!$D$2="","",'Годовые данные'!$D$2*$J$9)</f>
        <v>0.83512000000000008</v>
      </c>
      <c r="F9" s="6">
        <f>IF('Годовые данные'!$E$2="","",'Годовые данные'!$E$2*$J$9)</f>
        <v>0.26</v>
      </c>
      <c r="G9" s="1"/>
      <c r="H9" s="8" t="s">
        <v>15</v>
      </c>
      <c r="I9" s="9">
        <v>0.19</v>
      </c>
      <c r="J9" s="9">
        <v>0.26</v>
      </c>
    </row>
    <row r="10" spans="1:10">
      <c r="A10" s="3">
        <v>2008</v>
      </c>
      <c r="B10" s="1" t="s">
        <v>16</v>
      </c>
      <c r="C10" s="4">
        <f>IF('Годовые данные'!$B$2="","",'Годовые данные'!$B$2*$I$10)</f>
        <v>521.81870000000004</v>
      </c>
      <c r="D10" s="5">
        <f>IF('Годовые данные'!$C$2="","",'Годовые данные'!$C$2*$I$10)</f>
        <v>96.915000000000006</v>
      </c>
      <c r="E10" s="4">
        <f>IF('Годовые данные'!$D$2="","",'Годовые данные'!$D$2*$J$10)</f>
        <v>0.80300000000000005</v>
      </c>
      <c r="F10" s="6">
        <f>IF('Годовые данные'!$E$2="","",'Годовые данные'!$E$2*$J$10)</f>
        <v>0.25</v>
      </c>
      <c r="G10" s="1"/>
      <c r="H10" s="8" t="s">
        <v>16</v>
      </c>
      <c r="I10" s="9">
        <v>0.13</v>
      </c>
      <c r="J10" s="9">
        <v>0.25</v>
      </c>
    </row>
    <row r="11" spans="1:10">
      <c r="A11" s="3">
        <v>2008</v>
      </c>
      <c r="B11" s="1" t="s">
        <v>17</v>
      </c>
      <c r="C11" s="4">
        <f>IF('Годовые данные'!$B$2="","",'Годовые данные'!$B$2*$I$11)</f>
        <v>240.83939999999998</v>
      </c>
      <c r="D11" s="5">
        <f>IF('Годовые данные'!$C$2="","",'Годовые данные'!$C$2*$I$11)</f>
        <v>44.73</v>
      </c>
      <c r="E11" s="4">
        <f>IF('Годовые данные'!$D$2="","",'Годовые данные'!$D$2*$J$11)</f>
        <v>0.48180000000000001</v>
      </c>
      <c r="F11" s="6">
        <f>IF('Годовые данные'!$E$2="","",'Годовые данные'!$E$2*$J$11)</f>
        <v>0.15</v>
      </c>
      <c r="G11" s="1"/>
      <c r="H11" s="8" t="s">
        <v>17</v>
      </c>
      <c r="I11" s="9">
        <v>0.06</v>
      </c>
      <c r="J11" s="9">
        <v>0.15</v>
      </c>
    </row>
    <row r="12" spans="1:10">
      <c r="A12" s="3">
        <v>2008</v>
      </c>
      <c r="B12" s="1" t="s">
        <v>18</v>
      </c>
      <c r="C12" s="4">
        <f>IF('Годовые данные'!$B$2="","",'Годовые данные'!$B$2*$I$12)</f>
        <v>120.41969999999999</v>
      </c>
      <c r="D12" s="5">
        <f>IF('Годовые данные'!$C$2="","",'Годовые данные'!$C$2*$I$12)</f>
        <v>22.364999999999998</v>
      </c>
      <c r="E12" s="4">
        <f>IF('Годовые данные'!$D$2="","",'Годовые данные'!$D$2*$J$12)</f>
        <v>0.25696000000000002</v>
      </c>
      <c r="F12" s="6">
        <f>IF('Годовые данные'!$E$2="","",'Годовые данные'!$E$2*$J$12)</f>
        <v>0.08</v>
      </c>
      <c r="G12" s="1"/>
      <c r="H12" s="8" t="s">
        <v>18</v>
      </c>
      <c r="I12" s="9">
        <v>0.03</v>
      </c>
      <c r="J12" s="9">
        <v>0.08</v>
      </c>
    </row>
    <row r="13" spans="1:10">
      <c r="A13" s="3">
        <v>2008</v>
      </c>
      <c r="B13" s="1" t="s">
        <v>19</v>
      </c>
      <c r="C13" s="4">
        <f>IF('Годовые данные'!$B$2="","",'Годовые данные'!$B$2*$I$13)</f>
        <v>40.139899999999997</v>
      </c>
      <c r="D13" s="5">
        <f>IF('Годовые данные'!$C$2="","",'Годовые данные'!$C$2*$I$13)</f>
        <v>7.4550000000000001</v>
      </c>
      <c r="E13" s="4">
        <f>IF('Годовые данные'!$D$2="","",'Годовые данные'!$D$2*$J$13)</f>
        <v>0.16060000000000002</v>
      </c>
      <c r="F13" s="6">
        <f>IF('Годовые данные'!$E$2="","",'Годовые данные'!$E$2*$J$13)</f>
        <v>0.05</v>
      </c>
      <c r="G13" s="1"/>
      <c r="H13" s="8" t="s">
        <v>19</v>
      </c>
      <c r="I13" s="9">
        <v>0.01</v>
      </c>
      <c r="J13" s="9">
        <v>0.05</v>
      </c>
    </row>
    <row r="14" spans="1:10">
      <c r="A14" s="3">
        <v>2009</v>
      </c>
      <c r="B14" s="1" t="s">
        <v>8</v>
      </c>
      <c r="C14" s="4">
        <f>IF('Годовые данные'!$B$3="","",'Годовые данные'!$B$3*$I$2)</f>
        <v>75.92</v>
      </c>
      <c r="D14" s="5">
        <f>IF('Годовые данные'!$C$3="","",'Годовые данные'!$C$3*$I$2)</f>
        <v>15.157</v>
      </c>
      <c r="E14" s="4">
        <f>IF('Годовые данные'!$D$3="","",'Годовые данные'!$D$3*$J$2)</f>
        <v>0.65</v>
      </c>
      <c r="F14" s="6">
        <f>IF('Годовые данные'!$E$3="","",'Годовые данные'!$E$3*$J$2)</f>
        <v>4.7E-2</v>
      </c>
      <c r="G14" s="1"/>
      <c r="H14" s="7" t="s">
        <v>20</v>
      </c>
      <c r="I14" s="10">
        <f>SUM(I2:I13)</f>
        <v>1</v>
      </c>
      <c r="J14" s="10">
        <f>SUM(J2:J13)</f>
        <v>1</v>
      </c>
    </row>
    <row r="15" spans="1:10">
      <c r="A15" s="3">
        <v>2009</v>
      </c>
      <c r="B15" s="1" t="s">
        <v>9</v>
      </c>
      <c r="C15" s="4">
        <f>IF('Годовые данные'!$B$3="","",'Годовые данные'!$B$3*$I$3)</f>
        <v>75.92</v>
      </c>
      <c r="D15" s="5">
        <f>IF('Годовые данные'!$C$3="","",'Годовые данные'!$C$3*$I$3)</f>
        <v>15.157</v>
      </c>
      <c r="E15" s="4">
        <f>IF('Годовые данные'!$D$3="","",'Годовые данные'!$D$3*$J$3)</f>
        <v>0.65</v>
      </c>
      <c r="F15" s="6">
        <f>IF('Годовые данные'!$E$3="","",'Годовые данные'!$E$3*$J$3)</f>
        <v>4.7E-2</v>
      </c>
      <c r="G15" s="1"/>
      <c r="H15" s="1"/>
      <c r="I15" s="1"/>
      <c r="J15" s="1"/>
    </row>
    <row r="16" spans="1:10">
      <c r="A16" s="3">
        <v>2009</v>
      </c>
      <c r="B16" s="1" t="s">
        <v>10</v>
      </c>
      <c r="C16" s="4">
        <f>IF('Годовые данные'!$B$3="","",'Годовые данные'!$B$3*$I$4)</f>
        <v>151.84</v>
      </c>
      <c r="D16" s="5">
        <f>IF('Годовые данные'!$C$3="","",'Годовые данные'!$C$3*$I$4)</f>
        <v>30.314</v>
      </c>
      <c r="E16" s="4">
        <f>IF('Годовые данные'!$D$3="","",'Годовые данные'!$D$3*$J$4)</f>
        <v>1.3</v>
      </c>
      <c r="F16" s="6">
        <f>IF('Годовые данные'!$E$3="","",'Годовые данные'!$E$3*$J$4)</f>
        <v>9.4E-2</v>
      </c>
      <c r="G16" s="1"/>
      <c r="H16" s="1"/>
      <c r="I16" s="1"/>
      <c r="J16" s="1"/>
    </row>
    <row r="17" spans="1:10">
      <c r="A17" s="3">
        <v>2009</v>
      </c>
      <c r="B17" s="1" t="s">
        <v>11</v>
      </c>
      <c r="C17" s="4">
        <f>IF('Годовые данные'!$B$3="","",'Годовые данные'!$B$3*$I$5)</f>
        <v>303.68</v>
      </c>
      <c r="D17" s="5">
        <f>IF('Годовые данные'!$C$3="","",'Годовые данные'!$C$3*$I$5)</f>
        <v>60.628</v>
      </c>
      <c r="E17" s="4">
        <f>IF('Годовые данные'!$D$3="","",'Годовые данные'!$D$3*$J$5)</f>
        <v>1.3</v>
      </c>
      <c r="F17" s="6">
        <f>IF('Годовые данные'!$E$3="","",'Годовые данные'!$E$3*$J$5)</f>
        <v>9.4E-2</v>
      </c>
      <c r="G17" s="1"/>
      <c r="H17" s="1"/>
      <c r="I17" s="1"/>
      <c r="J17" s="1"/>
    </row>
    <row r="18" spans="1:10">
      <c r="A18" s="3">
        <v>2009</v>
      </c>
      <c r="B18" s="1" t="s">
        <v>12</v>
      </c>
      <c r="C18" s="4">
        <f>IF('Годовые данные'!$B$3="","",'Годовые данные'!$B$3*$I$6)</f>
        <v>759.2</v>
      </c>
      <c r="D18" s="5">
        <f>IF('Годовые данные'!$C$3="","",'Годовые данные'!$C$3*$I$6)</f>
        <v>151.57000000000002</v>
      </c>
      <c r="E18" s="4">
        <f>IF('Годовые данные'!$D$3="","",'Годовые данные'!$D$3*$J$6)</f>
        <v>2.6</v>
      </c>
      <c r="F18" s="6">
        <f>IF('Годовые данные'!$E$3="","",'Годовые данные'!$E$3*$J$6)</f>
        <v>0.188</v>
      </c>
      <c r="G18" s="1"/>
      <c r="H18" s="1"/>
      <c r="I18" s="1"/>
      <c r="J18" s="1"/>
    </row>
    <row r="19" spans="1:10">
      <c r="A19" s="3">
        <v>2009</v>
      </c>
      <c r="B19" s="1" t="s">
        <v>13</v>
      </c>
      <c r="C19" s="4">
        <f>IF('Годовые данные'!$B$3="","",'Годовые данные'!$B$3*$I$7)</f>
        <v>1366.56</v>
      </c>
      <c r="D19" s="5">
        <f>IF('Годовые данные'!$C$3="","",'Годовые данные'!$C$3*$I$7)</f>
        <v>272.82600000000002</v>
      </c>
      <c r="E19" s="4">
        <f>IF('Годовые данные'!$D$3="","",'Годовые данные'!$D$3*$J$7)</f>
        <v>5.2</v>
      </c>
      <c r="F19" s="6">
        <f>IF('Годовые данные'!$E$3="","",'Годовые данные'!$E$3*$J$7)</f>
        <v>0.376</v>
      </c>
      <c r="G19" s="1"/>
      <c r="H19" s="1"/>
      <c r="I19" s="1"/>
      <c r="J19" s="1"/>
    </row>
    <row r="20" spans="1:10">
      <c r="A20" s="3">
        <v>2009</v>
      </c>
      <c r="B20" s="1" t="s">
        <v>14</v>
      </c>
      <c r="C20" s="4">
        <f>IF('Годовые данные'!$B$3="","",'Годовые данные'!$B$3*$I$8)</f>
        <v>1670.24</v>
      </c>
      <c r="D20" s="5">
        <f>IF('Годовые данные'!$C$3="","",'Годовые данные'!$C$3*$I$8)</f>
        <v>333.45400000000001</v>
      </c>
      <c r="E20" s="4">
        <f>IF('Годовые данные'!$D$3="","",'Годовые данные'!$D$3*$J$8)</f>
        <v>15.6</v>
      </c>
      <c r="F20" s="6">
        <f>IF('Годовые данные'!$E$3="","",'Годовые данные'!$E$3*$J$8)</f>
        <v>1.1279999999999999</v>
      </c>
      <c r="G20" s="1"/>
      <c r="H20" s="1"/>
      <c r="I20" s="1"/>
      <c r="J20" s="1"/>
    </row>
    <row r="21" spans="1:10">
      <c r="A21" s="3">
        <v>2009</v>
      </c>
      <c r="B21" s="1" t="s">
        <v>15</v>
      </c>
      <c r="C21" s="4">
        <f>IF('Годовые данные'!$B$3="","",'Годовые данные'!$B$3*$I$9)</f>
        <v>1442.48</v>
      </c>
      <c r="D21" s="5">
        <f>IF('Годовые данные'!$C$3="","",'Годовые данные'!$C$3*$I$9)</f>
        <v>287.983</v>
      </c>
      <c r="E21" s="4">
        <f>IF('Годовые данные'!$D$3="","",'Годовые данные'!$D$3*$J$9)</f>
        <v>33.800000000000004</v>
      </c>
      <c r="F21" s="6">
        <f>IF('Годовые данные'!$E$3="","",'Годовые данные'!$E$3*$J$9)</f>
        <v>2.4440000000000004</v>
      </c>
      <c r="G21" s="1"/>
      <c r="H21" s="1"/>
      <c r="I21" s="1"/>
      <c r="J21" s="1"/>
    </row>
    <row r="22" spans="1:10">
      <c r="A22" s="3">
        <v>2009</v>
      </c>
      <c r="B22" s="1" t="s">
        <v>16</v>
      </c>
      <c r="C22" s="4">
        <f>IF('Годовые данные'!$B$3="","",'Годовые данные'!$B$3*$I$10)</f>
        <v>986.96</v>
      </c>
      <c r="D22" s="5">
        <f>IF('Годовые данные'!$C$3="","",'Годовые данные'!$C$3*$I$10)</f>
        <v>197.04100000000003</v>
      </c>
      <c r="E22" s="4">
        <f>IF('Годовые данные'!$D$3="","",'Годовые данные'!$D$3*$J$10)</f>
        <v>32.5</v>
      </c>
      <c r="F22" s="6">
        <f>IF('Годовые данные'!$E$3="","",'Годовые данные'!$E$3*$J$10)</f>
        <v>2.35</v>
      </c>
      <c r="G22" s="1"/>
      <c r="H22" s="1"/>
      <c r="I22" s="1"/>
      <c r="J22" s="1"/>
    </row>
    <row r="23" spans="1:10">
      <c r="A23" s="3">
        <v>2009</v>
      </c>
      <c r="B23" s="1" t="s">
        <v>17</v>
      </c>
      <c r="C23" s="4">
        <f>IF('Годовые данные'!$B$3="","",'Годовые данные'!$B$3*$I$11)</f>
        <v>455.52</v>
      </c>
      <c r="D23" s="5">
        <f>IF('Годовые данные'!$C$3="","",'Годовые данные'!$C$3*$I$11)</f>
        <v>90.941999999999993</v>
      </c>
      <c r="E23" s="4">
        <f>IF('Годовые данные'!$D$3="","",'Годовые данные'!$D$3*$J$11)</f>
        <v>19.5</v>
      </c>
      <c r="F23" s="6">
        <f>IF('Годовые данные'!$E$3="","",'Годовые данные'!$E$3*$J$11)</f>
        <v>1.41</v>
      </c>
      <c r="G23" s="1"/>
      <c r="H23" s="1"/>
      <c r="I23" s="1"/>
      <c r="J23" s="1"/>
    </row>
    <row r="24" spans="1:10">
      <c r="A24" s="3">
        <v>2009</v>
      </c>
      <c r="B24" s="1" t="s">
        <v>18</v>
      </c>
      <c r="C24" s="4">
        <f>IF('Годовые данные'!$B$3="","",'Годовые данные'!$B$3*$I$12)</f>
        <v>227.76</v>
      </c>
      <c r="D24" s="5">
        <f>IF('Годовые данные'!$C$3="","",'Годовые данные'!$C$3*$I$12)</f>
        <v>45.470999999999997</v>
      </c>
      <c r="E24" s="4">
        <f>IF('Годовые данные'!$D$3="","",'Годовые данные'!$D$3*$J$12)</f>
        <v>10.4</v>
      </c>
      <c r="F24" s="6">
        <f>IF('Годовые данные'!$E$3="","",'Годовые данные'!$E$3*$J$12)</f>
        <v>0.752</v>
      </c>
      <c r="G24" s="1"/>
      <c r="H24" s="1"/>
      <c r="I24" s="1"/>
      <c r="J24" s="1"/>
    </row>
    <row r="25" spans="1:10">
      <c r="A25" s="3">
        <v>2009</v>
      </c>
      <c r="B25" s="1" t="s">
        <v>19</v>
      </c>
      <c r="C25" s="4">
        <f>IF('Годовые данные'!$B$3="","",'Годовые данные'!$B$3*$I$13)</f>
        <v>75.92</v>
      </c>
      <c r="D25" s="5">
        <f>IF('Годовые данные'!$C$3="","",'Годовые данные'!$C$3*$I$13)</f>
        <v>15.157</v>
      </c>
      <c r="E25" s="4">
        <f>IF('Годовые данные'!$D$3="","",'Годовые данные'!$D$3*$J$13)</f>
        <v>6.5</v>
      </c>
      <c r="F25" s="6">
        <f>IF('Годовые данные'!$E$3="","",'Годовые данные'!$E$3*$J$13)</f>
        <v>0.47000000000000003</v>
      </c>
      <c r="G25" s="1"/>
      <c r="H25" s="1"/>
      <c r="I25" s="1"/>
      <c r="J25" s="1"/>
    </row>
    <row r="26" spans="1:10">
      <c r="A26" s="3">
        <v>2010</v>
      </c>
      <c r="B26" s="1" t="s">
        <v>8</v>
      </c>
      <c r="C26" s="4">
        <f>IF('Годовые данные'!$B$4="","",'Годовые данные'!$B$4*$I$2)</f>
        <v>194.39000000000001</v>
      </c>
      <c r="D26" s="5">
        <f>IF('Годовые данные'!$C$4="","",'Годовые данные'!$C$4*$I$2)</f>
        <v>30.454000000000001</v>
      </c>
      <c r="E26" s="4">
        <f>IF('Годовые данные'!$D$4="","",'Годовые данные'!$D$4*$J$2)</f>
        <v>0.54709333333333332</v>
      </c>
      <c r="F26" s="6">
        <f>IF('Годовые данные'!$E$4="","",'Годовые данные'!$E$4*$J$2)</f>
        <v>7.5666666666666674E-2</v>
      </c>
      <c r="G26" s="1"/>
      <c r="H26" s="1"/>
      <c r="I26" s="1"/>
      <c r="J26" s="1"/>
    </row>
    <row r="27" spans="1:10">
      <c r="A27" s="3">
        <v>2010</v>
      </c>
      <c r="B27" s="1" t="s">
        <v>9</v>
      </c>
      <c r="C27" s="4">
        <f>IF('Годовые данные'!$B$4="","",'Годовые данные'!$B$4*$I$3)</f>
        <v>194.39000000000001</v>
      </c>
      <c r="D27" s="5">
        <f>IF('Годовые данные'!$C$4="","",'Годовые данные'!$C$4*$I$3)</f>
        <v>30.454000000000001</v>
      </c>
      <c r="E27" s="4">
        <f>IF('Годовые данные'!$D$4="","",'Годовые данные'!$D$4*$J$3)</f>
        <v>0.54709333333333332</v>
      </c>
      <c r="F27" s="6">
        <f>IF('Годовые данные'!$E$4="","",'Годовые данные'!$E$4*$J$3)</f>
        <v>7.5666666666666674E-2</v>
      </c>
      <c r="G27" s="1"/>
      <c r="H27" s="1"/>
      <c r="I27" s="1"/>
      <c r="J27" s="1"/>
    </row>
    <row r="28" spans="1:10">
      <c r="A28" s="3">
        <v>2010</v>
      </c>
      <c r="B28" s="1" t="s">
        <v>10</v>
      </c>
      <c r="C28" s="4">
        <f>IF('Годовые данные'!$B$4="","",'Годовые данные'!$B$4*$I$4)</f>
        <v>388.78000000000003</v>
      </c>
      <c r="D28" s="5">
        <f>IF('Годовые данные'!$C$4="","",'Годовые данные'!$C$4*$I$4)</f>
        <v>60.908000000000001</v>
      </c>
      <c r="E28" s="4">
        <f>IF('Годовые данные'!$D$4="","",'Годовые данные'!$D$4*$J$4)</f>
        <v>1.0941866666666666</v>
      </c>
      <c r="F28" s="6">
        <f>IF('Годовые данные'!$E$4="","",'Годовые данные'!$E$4*$J$4)</f>
        <v>0.15133333333333335</v>
      </c>
      <c r="G28" s="1"/>
      <c r="H28" s="1"/>
      <c r="I28" s="1"/>
      <c r="J28" s="1"/>
    </row>
    <row r="29" spans="1:10">
      <c r="A29" s="3">
        <v>2010</v>
      </c>
      <c r="B29" s="1" t="s">
        <v>11</v>
      </c>
      <c r="C29" s="4">
        <f>IF('Годовые данные'!$B$4="","",'Годовые данные'!$B$4*$I$5)</f>
        <v>777.56000000000006</v>
      </c>
      <c r="D29" s="5">
        <f>IF('Годовые данные'!$C$4="","",'Годовые данные'!$C$4*$I$5)</f>
        <v>121.816</v>
      </c>
      <c r="E29" s="4">
        <f>IF('Годовые данные'!$D$4="","",'Годовые данные'!$D$4*$J$5)</f>
        <v>1.0941866666666666</v>
      </c>
      <c r="F29" s="6">
        <f>IF('Годовые данные'!$E$4="","",'Годовые данные'!$E$4*$J$5)</f>
        <v>0.15133333333333335</v>
      </c>
      <c r="G29" s="1"/>
      <c r="H29" s="1"/>
      <c r="I29" s="1"/>
      <c r="J29" s="1"/>
    </row>
    <row r="30" spans="1:10">
      <c r="A30" s="3">
        <v>2010</v>
      </c>
      <c r="B30" s="1" t="s">
        <v>12</v>
      </c>
      <c r="C30" s="4">
        <f>IF('Годовые данные'!$B$4="","",'Годовые данные'!$B$4*$I$6)</f>
        <v>1943.9</v>
      </c>
      <c r="D30" s="5">
        <f>IF('Годовые данные'!$C$4="","",'Годовые данные'!$C$4*$I$6)</f>
        <v>304.54000000000002</v>
      </c>
      <c r="E30" s="4">
        <f>IF('Годовые данные'!$D$4="","",'Годовые данные'!$D$4*$J$6)</f>
        <v>2.1883733333333333</v>
      </c>
      <c r="F30" s="6">
        <f>IF('Годовые данные'!$E$4="","",'Годовые данные'!$E$4*$J$6)</f>
        <v>0.30266666666666669</v>
      </c>
      <c r="G30" s="1"/>
      <c r="H30" s="1"/>
      <c r="I30" s="1"/>
      <c r="J30" s="1"/>
    </row>
    <row r="31" spans="1:10">
      <c r="A31" s="3">
        <v>2010</v>
      </c>
      <c r="B31" s="1" t="s">
        <v>13</v>
      </c>
      <c r="C31" s="4">
        <f>IF('Годовые данные'!$B$4="","",'Годовые данные'!$B$4*$I$7)</f>
        <v>3499.02</v>
      </c>
      <c r="D31" s="5">
        <f>IF('Годовые данные'!$C$4="","",'Годовые данные'!$C$4*$I$7)</f>
        <v>548.17200000000003</v>
      </c>
      <c r="E31" s="4">
        <f>IF('Годовые данные'!$D$4="","",'Годовые данные'!$D$4*$J$7)</f>
        <v>4.3767466666666666</v>
      </c>
      <c r="F31" s="6">
        <f>IF('Годовые данные'!$E$4="","",'Годовые данные'!$E$4*$J$7)</f>
        <v>0.60533333333333339</v>
      </c>
      <c r="G31" s="1"/>
      <c r="H31" s="1"/>
      <c r="I31" s="1"/>
      <c r="J31" s="1"/>
    </row>
    <row r="32" spans="1:10">
      <c r="A32" s="3">
        <v>2010</v>
      </c>
      <c r="B32" s="1" t="s">
        <v>14</v>
      </c>
      <c r="C32" s="4">
        <f>IF('Годовые данные'!$B$4="","",'Годовые данные'!$B$4*$I$8)</f>
        <v>4276.58</v>
      </c>
      <c r="D32" s="5">
        <f>IF('Годовые данные'!$C$4="","",'Годовые данные'!$C$4*$I$8)</f>
        <v>669.98800000000006</v>
      </c>
      <c r="E32" s="4">
        <f>IF('Годовые данные'!$D$4="","",'Годовые данные'!$D$4*$J$8)</f>
        <v>13.130239999999999</v>
      </c>
      <c r="F32" s="6">
        <f>IF('Годовые данные'!$E$4="","",'Годовые данные'!$E$4*$J$8)</f>
        <v>1.8160000000000001</v>
      </c>
      <c r="G32" s="1"/>
      <c r="H32" s="1"/>
      <c r="I32" s="1"/>
      <c r="J32" s="1"/>
    </row>
    <row r="33" spans="1:10">
      <c r="A33" s="3">
        <v>2010</v>
      </c>
      <c r="B33" s="1" t="s">
        <v>15</v>
      </c>
      <c r="C33" s="4">
        <f>IF('Годовые данные'!$B$4="","",'Годовые данные'!$B$4*$I$9)</f>
        <v>3693.41</v>
      </c>
      <c r="D33" s="5">
        <f>IF('Годовые данные'!$C$4="","",'Годовые данные'!$C$4*$I$9)</f>
        <v>578.62599999999998</v>
      </c>
      <c r="E33" s="4">
        <f>IF('Годовые данные'!$D$4="","",'Годовые данные'!$D$4*$J$9)</f>
        <v>28.448853333333336</v>
      </c>
      <c r="F33" s="6">
        <f>IF('Годовые данные'!$E$4="","",'Годовые данные'!$E$4*$J$9)</f>
        <v>3.9346666666666672</v>
      </c>
      <c r="G33" s="1"/>
      <c r="H33" s="1"/>
      <c r="I33" s="1"/>
      <c r="J33" s="1"/>
    </row>
    <row r="34" spans="1:10">
      <c r="A34" s="3">
        <v>2010</v>
      </c>
      <c r="B34" s="1" t="s">
        <v>16</v>
      </c>
      <c r="C34" s="4">
        <f>IF('Годовые данные'!$B$4="","",'Годовые данные'!$B$4*$I$10)</f>
        <v>2527.0700000000002</v>
      </c>
      <c r="D34" s="5">
        <f>IF('Годовые данные'!$C$4="","",'Годовые данные'!$C$4*$I$10)</f>
        <v>395.90200000000004</v>
      </c>
      <c r="E34" s="4">
        <f>IF('Годовые данные'!$D$4="","",'Годовые данные'!$D$4*$J$10)</f>
        <v>27.354666666666667</v>
      </c>
      <c r="F34" s="6">
        <f>IF('Годовые данные'!$E$4="","",'Годовые данные'!$E$4*$J$10)</f>
        <v>3.7833333333333337</v>
      </c>
      <c r="G34" s="1"/>
      <c r="H34" s="1"/>
      <c r="I34" s="1"/>
      <c r="J34" s="1"/>
    </row>
    <row r="35" spans="1:10">
      <c r="A35" s="3">
        <v>2010</v>
      </c>
      <c r="B35" s="1" t="s">
        <v>17</v>
      </c>
      <c r="C35" s="4">
        <f>IF('Годовые данные'!$B$4="","",'Годовые данные'!$B$4*$I$11)</f>
        <v>1166.3399999999999</v>
      </c>
      <c r="D35" s="5">
        <f>IF('Годовые данные'!$C$4="","",'Годовые данные'!$C$4*$I$11)</f>
        <v>182.72399999999999</v>
      </c>
      <c r="E35" s="4">
        <f>IF('Годовые данные'!$D$4="","",'Годовые данные'!$D$4*$J$11)</f>
        <v>16.412800000000001</v>
      </c>
      <c r="F35" s="6">
        <f>IF('Годовые данные'!$E$4="","",'Годовые данные'!$E$4*$J$11)</f>
        <v>2.27</v>
      </c>
      <c r="G35" s="1"/>
      <c r="H35" s="1"/>
      <c r="I35" s="1"/>
      <c r="J35" s="1"/>
    </row>
    <row r="36" spans="1:10">
      <c r="A36" s="3">
        <v>2010</v>
      </c>
      <c r="B36" s="1" t="s">
        <v>18</v>
      </c>
      <c r="C36" s="4">
        <f>IF('Годовые данные'!$B$4="","",'Годовые данные'!$B$4*$I$12)</f>
        <v>583.16999999999996</v>
      </c>
      <c r="D36" s="5">
        <f>IF('Годовые данные'!$C$4="","",'Годовые данные'!$C$4*$I$12)</f>
        <v>91.361999999999995</v>
      </c>
      <c r="E36" s="4">
        <f>IF('Годовые данные'!$D$4="","",'Годовые данные'!$D$4*$J$12)</f>
        <v>8.7534933333333331</v>
      </c>
      <c r="F36" s="6">
        <f>IF('Годовые данные'!$E$4="","",'Годовые данные'!$E$4*$J$12)</f>
        <v>1.2106666666666668</v>
      </c>
      <c r="G36" s="1"/>
      <c r="H36" s="1"/>
      <c r="I36" s="1"/>
      <c r="J36" s="1"/>
    </row>
    <row r="37" spans="1:10">
      <c r="A37" s="3">
        <v>2010</v>
      </c>
      <c r="B37" s="1" t="s">
        <v>19</v>
      </c>
      <c r="C37" s="4">
        <f>IF('Годовые данные'!$B$4="","",'Годовые данные'!$B$4*$I$13)</f>
        <v>194.39000000000001</v>
      </c>
      <c r="D37" s="5">
        <f>IF('Годовые данные'!$C$4="","",'Годовые данные'!$C$4*$I$13)</f>
        <v>30.454000000000001</v>
      </c>
      <c r="E37" s="4">
        <f>IF('Годовые данные'!$D$4="","",'Годовые данные'!$D$4*$J$13)</f>
        <v>5.4709333333333339</v>
      </c>
      <c r="F37" s="6">
        <f>IF('Годовые данные'!$E$4="","",'Годовые данные'!$E$4*$J$13)</f>
        <v>0.75666666666666682</v>
      </c>
      <c r="G37" s="1"/>
      <c r="H37" s="1"/>
      <c r="I37" s="1"/>
      <c r="J37" s="1"/>
    </row>
    <row r="38" spans="1:10">
      <c r="A38" s="3">
        <v>2011</v>
      </c>
      <c r="B38" s="1" t="s">
        <v>8</v>
      </c>
      <c r="C38" s="4">
        <f>IF('Годовые данные'!$B$5="","",'Годовые данные'!$B$5*$I$2)</f>
        <v>92.52</v>
      </c>
      <c r="D38" s="5">
        <f>IF('Годовые данные'!$C$5="","",'Годовые данные'!$C$5*$I$2)</f>
        <v>16.559999999999999</v>
      </c>
      <c r="E38" s="4">
        <f>IF('Годовые данные'!$D$5="","",'Годовые данные'!$D$5*$J$2)</f>
        <v>0.44418666666666667</v>
      </c>
      <c r="F38" s="6">
        <f>IF('Годовые данные'!$E$5="","",'Годовые данные'!$E$5*$J$2)</f>
        <v>0.10433333333333333</v>
      </c>
      <c r="G38" s="1"/>
      <c r="H38" s="1"/>
      <c r="I38" s="1"/>
      <c r="J38" s="1"/>
    </row>
    <row r="39" spans="1:10">
      <c r="A39" s="3">
        <v>2011</v>
      </c>
      <c r="B39" s="1" t="s">
        <v>9</v>
      </c>
      <c r="C39" s="4">
        <f>IF('Годовые данные'!$B$5="","",'Годовые данные'!$B$5*$I$3)</f>
        <v>92.52</v>
      </c>
      <c r="D39" s="5">
        <f>IF('Годовые данные'!$C$5="","",'Годовые данные'!$C$5*$I$3)</f>
        <v>16.559999999999999</v>
      </c>
      <c r="E39" s="4">
        <f>IF('Годовые данные'!$D$5="","",'Годовые данные'!$D$5*$J$3)</f>
        <v>0.44418666666666667</v>
      </c>
      <c r="F39" s="6">
        <f>IF('Годовые данные'!$E$5="","",'Годовые данные'!$E$5*$J$3)</f>
        <v>0.10433333333333333</v>
      </c>
      <c r="G39" s="1"/>
      <c r="H39" s="1"/>
      <c r="I39" s="1"/>
      <c r="J39" s="1"/>
    </row>
    <row r="40" spans="1:10">
      <c r="A40" s="3">
        <v>2011</v>
      </c>
      <c r="B40" s="1" t="s">
        <v>10</v>
      </c>
      <c r="C40" s="4">
        <f>IF('Годовые данные'!$B$5="","",'Годовые данные'!$B$5*$I$4)</f>
        <v>185.04</v>
      </c>
      <c r="D40" s="5">
        <f>IF('Годовые данные'!$C$5="","",'Годовые данные'!$C$5*$I$4)</f>
        <v>33.119999999999997</v>
      </c>
      <c r="E40" s="4">
        <f>IF('Годовые данные'!$D$5="","",'Годовые данные'!$D$5*$J$4)</f>
        <v>0.88837333333333335</v>
      </c>
      <c r="F40" s="6">
        <f>IF('Годовые данные'!$E$5="","",'Годовые данные'!$E$5*$J$4)</f>
        <v>0.20866666666666667</v>
      </c>
      <c r="G40" s="1"/>
      <c r="H40" s="1"/>
      <c r="I40" s="1"/>
      <c r="J40" s="1"/>
    </row>
    <row r="41" spans="1:10">
      <c r="A41" s="3">
        <v>2011</v>
      </c>
      <c r="B41" s="1" t="s">
        <v>11</v>
      </c>
      <c r="C41" s="4">
        <f>IF('Годовые данные'!$B$5="","",'Годовые данные'!$B$5*$I$5)</f>
        <v>370.08</v>
      </c>
      <c r="D41" s="5">
        <f>IF('Годовые данные'!$C$5="","",'Годовые данные'!$C$5*$I$5)</f>
        <v>66.239999999999995</v>
      </c>
      <c r="E41" s="4">
        <f>IF('Годовые данные'!$D$5="","",'Годовые данные'!$D$5*$J$5)</f>
        <v>0.88837333333333335</v>
      </c>
      <c r="F41" s="6">
        <f>IF('Годовые данные'!$E$5="","",'Годовые данные'!$E$5*$J$5)</f>
        <v>0.20866666666666667</v>
      </c>
      <c r="G41" s="1"/>
      <c r="H41" s="1"/>
      <c r="I41" s="1"/>
      <c r="J41" s="1"/>
    </row>
    <row r="42" spans="1:10">
      <c r="A42" s="3">
        <v>2011</v>
      </c>
      <c r="B42" s="1" t="s">
        <v>12</v>
      </c>
      <c r="C42" s="4">
        <f>IF('Годовые данные'!$B$5="","",'Годовые данные'!$B$5*$I$6)</f>
        <v>925.2</v>
      </c>
      <c r="D42" s="5">
        <f>IF('Годовые данные'!$C$5="","",'Годовые данные'!$C$5*$I$6)</f>
        <v>165.60000000000002</v>
      </c>
      <c r="E42" s="4">
        <f>IF('Годовые данные'!$D$5="","",'Годовые данные'!$D$5*$J$6)</f>
        <v>1.7767466666666667</v>
      </c>
      <c r="F42" s="6">
        <f>IF('Годовые данные'!$E$5="","",'Годовые данные'!$E$5*$J$6)</f>
        <v>0.41733333333333333</v>
      </c>
      <c r="G42" s="1"/>
      <c r="H42" s="1"/>
      <c r="I42" s="1"/>
      <c r="J42" s="1"/>
    </row>
    <row r="43" spans="1:10">
      <c r="A43" s="3">
        <v>2011</v>
      </c>
      <c r="B43" s="1" t="s">
        <v>13</v>
      </c>
      <c r="C43" s="4">
        <f>IF('Годовые данные'!$B$5="","",'Годовые данные'!$B$5*$I$7)</f>
        <v>1665.36</v>
      </c>
      <c r="D43" s="5">
        <f>IF('Годовые данные'!$C$5="","",'Годовые данные'!$C$5*$I$7)</f>
        <v>298.08</v>
      </c>
      <c r="E43" s="4">
        <f>IF('Годовые данные'!$D$5="","",'Годовые данные'!$D$5*$J$7)</f>
        <v>3.5534933333333334</v>
      </c>
      <c r="F43" s="6">
        <f>IF('Годовые данные'!$E$5="","",'Годовые данные'!$E$5*$J$7)</f>
        <v>0.83466666666666667</v>
      </c>
      <c r="G43" s="1"/>
      <c r="H43" s="1"/>
      <c r="I43" s="1"/>
      <c r="J43" s="1"/>
    </row>
    <row r="44" spans="1:10">
      <c r="A44" s="3">
        <v>2011</v>
      </c>
      <c r="B44" s="1" t="s">
        <v>14</v>
      </c>
      <c r="C44" s="4">
        <f>IF('Годовые данные'!$B$5="","",'Годовые данные'!$B$5*$I$8)</f>
        <v>2035.44</v>
      </c>
      <c r="D44" s="5">
        <f>IF('Годовые данные'!$C$5="","",'Годовые данные'!$C$5*$I$8)</f>
        <v>364.32</v>
      </c>
      <c r="E44" s="4">
        <f>IF('Годовые данные'!$D$5="","",'Годовые данные'!$D$5*$J$8)</f>
        <v>10.66048</v>
      </c>
      <c r="F44" s="6">
        <f>IF('Годовые данные'!$E$5="","",'Годовые данные'!$E$5*$J$8)</f>
        <v>2.504</v>
      </c>
      <c r="G44" s="1"/>
      <c r="H44" s="1"/>
      <c r="I44" s="1"/>
      <c r="J44" s="1"/>
    </row>
    <row r="45" spans="1:10">
      <c r="A45" s="3">
        <v>2011</v>
      </c>
      <c r="B45" s="1" t="s">
        <v>15</v>
      </c>
      <c r="C45" s="4">
        <f>IF('Годовые данные'!$B$5="","",'Годовые данные'!$B$5*$I$9)</f>
        <v>1757.88</v>
      </c>
      <c r="D45" s="5">
        <f>IF('Годовые данные'!$C$5="","",'Годовые данные'!$C$5*$I$9)</f>
        <v>314.64</v>
      </c>
      <c r="E45" s="4">
        <f>IF('Годовые данные'!$D$5="","",'Годовые данные'!$D$5*$J$9)</f>
        <v>23.097706666666667</v>
      </c>
      <c r="F45" s="6">
        <f>IF('Годовые данные'!$E$5="","",'Годовые данные'!$E$5*$J$9)</f>
        <v>5.4253333333333336</v>
      </c>
      <c r="G45" s="1"/>
      <c r="H45" s="1"/>
      <c r="I45" s="1"/>
      <c r="J45" s="1"/>
    </row>
    <row r="46" spans="1:10">
      <c r="A46" s="3">
        <v>2011</v>
      </c>
      <c r="B46" s="1" t="s">
        <v>16</v>
      </c>
      <c r="C46" s="4">
        <f>IF('Годовые данные'!$B$5="","",'Годовые данные'!$B$5*$I$10)</f>
        <v>1202.76</v>
      </c>
      <c r="D46" s="5">
        <f>IF('Годовые данные'!$C$5="","",'Годовые данные'!$C$5*$I$10)</f>
        <v>215.28</v>
      </c>
      <c r="E46" s="4">
        <f>IF('Годовые данные'!$D$5="","",'Годовые данные'!$D$5*$J$10)</f>
        <v>22.209333333333333</v>
      </c>
      <c r="F46" s="6">
        <f>IF('Годовые данные'!$E$5="","",'Годовые данные'!$E$5*$J$10)</f>
        <v>5.2166666666666668</v>
      </c>
      <c r="G46" s="1"/>
      <c r="H46" s="1"/>
      <c r="I46" s="1"/>
      <c r="J46" s="1"/>
    </row>
    <row r="47" spans="1:10">
      <c r="A47" s="3">
        <v>2011</v>
      </c>
      <c r="B47" s="1" t="s">
        <v>17</v>
      </c>
      <c r="C47" s="4">
        <f>IF('Годовые данные'!$B$5="","",'Годовые данные'!$B$5*$I$11)</f>
        <v>555.12</v>
      </c>
      <c r="D47" s="5">
        <f>IF('Годовые данные'!$C$5="","",'Годовые данные'!$C$5*$I$11)</f>
        <v>99.36</v>
      </c>
      <c r="E47" s="4">
        <f>IF('Годовые данные'!$D$5="","",'Годовые данные'!$D$5*$J$11)</f>
        <v>13.3256</v>
      </c>
      <c r="F47" s="6">
        <f>IF('Годовые данные'!$E$5="","",'Годовые данные'!$E$5*$J$11)</f>
        <v>3.13</v>
      </c>
      <c r="G47" s="1"/>
      <c r="H47" s="1"/>
      <c r="I47" s="1"/>
      <c r="J47" s="1"/>
    </row>
    <row r="48" spans="1:10">
      <c r="A48" s="3">
        <v>2011</v>
      </c>
      <c r="B48" s="1" t="s">
        <v>18</v>
      </c>
      <c r="C48" s="4">
        <f>IF('Годовые данные'!$B$5="","",'Годовые данные'!$B$5*$I$12)</f>
        <v>277.56</v>
      </c>
      <c r="D48" s="5">
        <f>IF('Годовые данные'!$C$5="","",'Годовые данные'!$C$5*$I$12)</f>
        <v>49.68</v>
      </c>
      <c r="E48" s="4">
        <f>IF('Годовые данные'!$D$5="","",'Годовые данные'!$D$5*$J$12)</f>
        <v>7.1069866666666668</v>
      </c>
      <c r="F48" s="6">
        <f>IF('Годовые данные'!$E$5="","",'Годовые данные'!$E$5*$J$12)</f>
        <v>1.6693333333333333</v>
      </c>
      <c r="G48" s="1"/>
      <c r="H48" s="1"/>
      <c r="I48" s="1"/>
      <c r="J48" s="1"/>
    </row>
    <row r="49" spans="1:10">
      <c r="A49" s="3">
        <v>2011</v>
      </c>
      <c r="B49" s="1" t="s">
        <v>19</v>
      </c>
      <c r="C49" s="4">
        <f>IF('Годовые данные'!$B$5="","",'Годовые данные'!$B$5*$I$13)</f>
        <v>92.52</v>
      </c>
      <c r="D49" s="5">
        <f>IF('Годовые данные'!$C$5="","",'Годовые данные'!$C$5*$I$13)</f>
        <v>16.559999999999999</v>
      </c>
      <c r="E49" s="4">
        <f>IF('Годовые данные'!$D$5="","",'Годовые данные'!$D$5*$J$13)</f>
        <v>4.4418666666666669</v>
      </c>
      <c r="F49" s="6">
        <f>IF('Годовые данные'!$E$5="","",'Годовые данные'!$E$5*$J$13)</f>
        <v>1.0433333333333334</v>
      </c>
      <c r="G49" s="1"/>
      <c r="H49" s="1"/>
      <c r="I49" s="1"/>
      <c r="J49" s="1"/>
    </row>
    <row r="50" spans="1:10">
      <c r="A50" s="3">
        <v>2012</v>
      </c>
      <c r="B50" s="1" t="s">
        <v>8</v>
      </c>
      <c r="C50" s="4">
        <f>IF('Годовые данные'!$B$6="","",'Годовые данные'!$B$6*$I$2)</f>
        <v>103.53554</v>
      </c>
      <c r="D50" s="5">
        <f>IF('Годовые данные'!$C$6="","",'Годовые данные'!$C$6*$I$2)</f>
        <v>23.190999999999999</v>
      </c>
      <c r="E50" s="4">
        <f>IF('Годовые данные'!$D$6="","",'Годовые данные'!$D$6*$J$2)</f>
        <v>0.34128000000000003</v>
      </c>
      <c r="F50" s="6">
        <f>IF('Годовые данные'!$E$6="","",'Годовые данные'!$E$6*$J$2)</f>
        <v>0.13300000000000001</v>
      </c>
      <c r="G50" s="1"/>
      <c r="H50" s="1"/>
      <c r="I50" s="1"/>
      <c r="J50" s="1"/>
    </row>
    <row r="51" spans="1:10">
      <c r="A51" s="3">
        <v>2012</v>
      </c>
      <c r="B51" s="1" t="s">
        <v>9</v>
      </c>
      <c r="C51" s="4">
        <f>IF('Годовые данные'!$B$6="","",'Годовые данные'!$B$6*$I$3)</f>
        <v>103.53554</v>
      </c>
      <c r="D51" s="5">
        <f>IF('Годовые данные'!$C$6="","",'Годовые данные'!$C$6*$I$3)</f>
        <v>23.190999999999999</v>
      </c>
      <c r="E51" s="4">
        <f>IF('Годовые данные'!$D$6="","",'Годовые данные'!$D$6*$J$3)</f>
        <v>0.34128000000000003</v>
      </c>
      <c r="F51" s="6">
        <f>IF('Годовые данные'!$E$6="","",'Годовые данные'!$E$6*$J$3)</f>
        <v>0.13300000000000001</v>
      </c>
      <c r="G51" s="1"/>
      <c r="H51" s="1"/>
      <c r="I51" s="1"/>
      <c r="J51" s="1"/>
    </row>
    <row r="52" spans="1:10">
      <c r="A52" s="3">
        <v>2012</v>
      </c>
      <c r="B52" s="1" t="s">
        <v>10</v>
      </c>
      <c r="C52" s="4">
        <f>IF('Годовые данные'!$B$6="","",'Годовые данные'!$B$6*$I$4)</f>
        <v>207.07107999999999</v>
      </c>
      <c r="D52" s="5">
        <f>IF('Годовые данные'!$C$6="","",'Годовые данные'!$C$6*$I$4)</f>
        <v>46.381999999999998</v>
      </c>
      <c r="E52" s="4">
        <f>IF('Годовые данные'!$D$6="","",'Годовые данные'!$D$6*$J$4)</f>
        <v>0.68256000000000006</v>
      </c>
      <c r="F52" s="6">
        <f>IF('Годовые данные'!$E$6="","",'Годовые данные'!$E$6*$J$4)</f>
        <v>0.26600000000000001</v>
      </c>
      <c r="G52" s="1"/>
      <c r="H52" s="1"/>
      <c r="I52" s="1"/>
      <c r="J52" s="1"/>
    </row>
    <row r="53" spans="1:10">
      <c r="A53" s="3">
        <v>2012</v>
      </c>
      <c r="B53" s="1" t="s">
        <v>11</v>
      </c>
      <c r="C53" s="4">
        <f>IF('Годовые данные'!$B$6="","",'Годовые данные'!$B$6*$I$5)</f>
        <v>414.14215999999999</v>
      </c>
      <c r="D53" s="5">
        <f>IF('Годовые данные'!$C$6="","",'Годовые данные'!$C$6*$I$5)</f>
        <v>92.763999999999996</v>
      </c>
      <c r="E53" s="4">
        <f>IF('Годовые данные'!$D$6="","",'Годовые данные'!$D$6*$J$5)</f>
        <v>0.68256000000000006</v>
      </c>
      <c r="F53" s="6">
        <f>IF('Годовые данные'!$E$6="","",'Годовые данные'!$E$6*$J$5)</f>
        <v>0.26600000000000001</v>
      </c>
      <c r="G53" s="1"/>
      <c r="H53" s="1"/>
      <c r="I53" s="1"/>
      <c r="J53" s="1"/>
    </row>
    <row r="54" spans="1:10">
      <c r="A54" s="3">
        <v>2012</v>
      </c>
      <c r="B54" s="1" t="s">
        <v>12</v>
      </c>
      <c r="C54" s="4">
        <f>IF('Годовые данные'!$B$6="","",'Годовые данные'!$B$6*$I$6)</f>
        <v>1035.3554000000001</v>
      </c>
      <c r="D54" s="5">
        <f>IF('Годовые данные'!$C$6="","",'Годовые данные'!$C$6*$I$6)</f>
        <v>231.91</v>
      </c>
      <c r="E54" s="4">
        <f>IF('Годовые данные'!$D$6="","",'Годовые данные'!$D$6*$J$6)</f>
        <v>1.3651200000000001</v>
      </c>
      <c r="F54" s="6">
        <f>IF('Годовые данные'!$E$6="","",'Годовые данные'!$E$6*$J$6)</f>
        <v>0.53200000000000003</v>
      </c>
      <c r="G54" s="1"/>
      <c r="H54" s="1"/>
      <c r="I54" s="1"/>
      <c r="J54" s="1"/>
    </row>
    <row r="55" spans="1:10">
      <c r="A55" s="3">
        <v>2012</v>
      </c>
      <c r="B55" s="1" t="s">
        <v>13</v>
      </c>
      <c r="C55" s="4">
        <f>IF('Годовые данные'!$B$6="","",'Годовые данные'!$B$6*$I$7)</f>
        <v>1863.6397199999999</v>
      </c>
      <c r="D55" s="5">
        <f>IF('Годовые данные'!$C$6="","",'Годовые данные'!$C$6*$I$7)</f>
        <v>417.43799999999999</v>
      </c>
      <c r="E55" s="4">
        <f>IF('Годовые данные'!$D$6="","",'Годовые данные'!$D$6*$J$7)</f>
        <v>2.7302400000000002</v>
      </c>
      <c r="F55" s="6">
        <f>IF('Годовые данные'!$E$6="","",'Годовые данные'!$E$6*$J$7)</f>
        <v>1.0640000000000001</v>
      </c>
      <c r="G55" s="1"/>
      <c r="H55" s="1"/>
      <c r="I55" s="1"/>
      <c r="J55" s="1"/>
    </row>
    <row r="56" spans="1:10">
      <c r="A56" s="3">
        <v>2012</v>
      </c>
      <c r="B56" s="1" t="s">
        <v>14</v>
      </c>
      <c r="C56" s="4">
        <f>IF('Годовые данные'!$B$6="","",'Годовые данные'!$B$6*$I$8)</f>
        <v>2277.78188</v>
      </c>
      <c r="D56" s="5">
        <f>IF('Годовые данные'!$C$6="","",'Годовые данные'!$C$6*$I$8)</f>
        <v>510.202</v>
      </c>
      <c r="E56" s="4">
        <f>IF('Годовые данные'!$D$6="","",'Годовые данные'!$D$6*$J$8)</f>
        <v>8.1907199999999989</v>
      </c>
      <c r="F56" s="6">
        <f>IF('Годовые данные'!$E$6="","",'Годовые данные'!$E$6*$J$8)</f>
        <v>3.1920000000000002</v>
      </c>
      <c r="G56" s="1"/>
      <c r="H56" s="1"/>
      <c r="I56" s="1"/>
      <c r="J56" s="1"/>
    </row>
    <row r="57" spans="1:10">
      <c r="A57" s="3">
        <v>2012</v>
      </c>
      <c r="B57" s="1" t="s">
        <v>15</v>
      </c>
      <c r="C57" s="4">
        <f>IF('Годовые данные'!$B$6="","",'Годовые данные'!$B$6*$I$9)</f>
        <v>1967.17526</v>
      </c>
      <c r="D57" s="5">
        <f>IF('Годовые данные'!$C$6="","",'Годовые данные'!$C$6*$I$9)</f>
        <v>440.62899999999996</v>
      </c>
      <c r="E57" s="4">
        <f>IF('Годовые данные'!$D$6="","",'Годовые данные'!$D$6*$J$9)</f>
        <v>17.746560000000002</v>
      </c>
      <c r="F57" s="6">
        <f>IF('Годовые данные'!$E$6="","",'Годовые данные'!$E$6*$J$9)</f>
        <v>6.9160000000000004</v>
      </c>
      <c r="G57" s="1"/>
      <c r="H57" s="1"/>
      <c r="I57" s="1"/>
      <c r="J57" s="1"/>
    </row>
    <row r="58" spans="1:10">
      <c r="A58" s="3">
        <v>2012</v>
      </c>
      <c r="B58" s="1" t="s">
        <v>16</v>
      </c>
      <c r="C58" s="4">
        <f>IF('Годовые данные'!$B$6="","",'Годовые данные'!$B$6*$I$10)</f>
        <v>1345.9620200000002</v>
      </c>
      <c r="D58" s="5">
        <f>IF('Годовые данные'!$C$6="","",'Годовые данные'!$C$6*$I$10)</f>
        <v>301.483</v>
      </c>
      <c r="E58" s="4">
        <f>IF('Годовые данные'!$D$6="","",'Годовые данные'!$D$6*$J$10)</f>
        <v>17.064</v>
      </c>
      <c r="F58" s="6">
        <f>IF('Годовые данные'!$E$6="","",'Годовые данные'!$E$6*$J$10)</f>
        <v>6.65</v>
      </c>
      <c r="G58" s="1"/>
      <c r="H58" s="1"/>
      <c r="I58" s="1"/>
      <c r="J58" s="1"/>
    </row>
    <row r="59" spans="1:10">
      <c r="A59" s="3">
        <v>2012</v>
      </c>
      <c r="B59" s="1" t="s">
        <v>17</v>
      </c>
      <c r="C59" s="4">
        <f>IF('Годовые данные'!$B$6="","",'Годовые данные'!$B$6*$I$11)</f>
        <v>621.21323999999993</v>
      </c>
      <c r="D59" s="5">
        <f>IF('Годовые данные'!$C$6="","",'Годовые данные'!$C$6*$I$11)</f>
        <v>139.14599999999999</v>
      </c>
      <c r="E59" s="4">
        <f>IF('Годовые данные'!$D$6="","",'Годовые данные'!$D$6*$J$11)</f>
        <v>10.2384</v>
      </c>
      <c r="F59" s="6">
        <f>IF('Годовые данные'!$E$6="","",'Годовые данные'!$E$6*$J$11)</f>
        <v>3.99</v>
      </c>
      <c r="G59" s="1"/>
      <c r="H59" s="1"/>
      <c r="I59" s="1"/>
      <c r="J59" s="1"/>
    </row>
    <row r="60" spans="1:10">
      <c r="A60" s="3">
        <v>2012</v>
      </c>
      <c r="B60" s="1" t="s">
        <v>18</v>
      </c>
      <c r="C60" s="4">
        <f>IF('Годовые данные'!$B$6="","",'Годовые данные'!$B$6*$I$12)</f>
        <v>310.60661999999996</v>
      </c>
      <c r="D60" s="5">
        <f>IF('Годовые данные'!$C$6="","",'Годовые данные'!$C$6*$I$12)</f>
        <v>69.572999999999993</v>
      </c>
      <c r="E60" s="4">
        <f>IF('Годовые данные'!$D$6="","",'Годовые данные'!$D$6*$J$12)</f>
        <v>5.4604800000000004</v>
      </c>
      <c r="F60" s="6">
        <f>IF('Годовые данные'!$E$6="","",'Годовые данные'!$E$6*$J$12)</f>
        <v>2.1280000000000001</v>
      </c>
      <c r="G60" s="1"/>
      <c r="H60" s="1"/>
      <c r="I60" s="1"/>
      <c r="J60" s="1"/>
    </row>
    <row r="61" spans="1:10">
      <c r="A61" s="3">
        <v>2012</v>
      </c>
      <c r="B61" s="1" t="s">
        <v>19</v>
      </c>
      <c r="C61" s="4">
        <f>IF('Годовые данные'!$B$6="","",'Годовые данные'!$B$6*$I$13)</f>
        <v>103.53554</v>
      </c>
      <c r="D61" s="5">
        <f>IF('Годовые данные'!$C$6="","",'Годовые данные'!$C$6*$I$13)</f>
        <v>23.190999999999999</v>
      </c>
      <c r="E61" s="4">
        <f>IF('Годовые данные'!$D$6="","",'Годовые данные'!$D$6*$J$13)</f>
        <v>3.4128000000000003</v>
      </c>
      <c r="F61" s="6">
        <f>IF('Годовые данные'!$E$6="","",'Годовые данные'!$E$6*$J$13)</f>
        <v>1.33</v>
      </c>
      <c r="G61" s="1"/>
      <c r="H61" s="1"/>
      <c r="I61" s="1"/>
      <c r="J61" s="1"/>
    </row>
    <row r="62" spans="1:10">
      <c r="A62" s="3">
        <v>2013</v>
      </c>
      <c r="B62" s="1" t="s">
        <v>8</v>
      </c>
      <c r="C62" s="4">
        <f>IF('Годовые данные'!$B$7="","",'Годовые данные'!$B$7*$I$2)</f>
        <v>153.51</v>
      </c>
      <c r="D62" s="5">
        <f>IF('Годовые данные'!$C$7="","",'Годовые данные'!$C$7*$I$2)</f>
        <v>31.997</v>
      </c>
      <c r="E62" s="4">
        <f>IF('Годовые данные'!$D$7="","",'Годовые данные'!$D$7*$J$2)</f>
        <v>0.115</v>
      </c>
      <c r="F62" s="6">
        <f>IF('Годовые данные'!$E$7="","",'Годовые данные'!$E$7*$J$2)</f>
        <v>5.2499999999999998E-2</v>
      </c>
      <c r="G62" s="1"/>
      <c r="H62" s="1"/>
      <c r="I62" s="1"/>
      <c r="J62" s="1"/>
    </row>
    <row r="63" spans="1:10">
      <c r="A63" s="3">
        <v>2013</v>
      </c>
      <c r="B63" s="1" t="s">
        <v>9</v>
      </c>
      <c r="C63" s="4">
        <f>IF('Годовые данные'!$B$7="","",'Годовые данные'!$B$7*$I$3)</f>
        <v>153.51</v>
      </c>
      <c r="D63" s="5">
        <f>IF('Годовые данные'!$C$7="","",'Годовые данные'!$C$7*$I$3)</f>
        <v>31.997</v>
      </c>
      <c r="E63" s="4">
        <f>IF('Годовые данные'!$D$7="","",'Годовые данные'!$D$7*$J$3)</f>
        <v>0.115</v>
      </c>
      <c r="F63" s="6">
        <f>IF('Годовые данные'!$E$7="","",'Годовые данные'!$E$7*$J$3)</f>
        <v>5.2499999999999998E-2</v>
      </c>
      <c r="G63" s="1"/>
      <c r="H63" s="1"/>
      <c r="I63" s="1"/>
      <c r="J63" s="1"/>
    </row>
    <row r="64" spans="1:10">
      <c r="A64" s="3">
        <v>2013</v>
      </c>
      <c r="B64" s="1" t="s">
        <v>10</v>
      </c>
      <c r="C64" s="4">
        <f>IF('Годовые данные'!$B$7="","",'Годовые данные'!$B$7*$I$4)</f>
        <v>307.02</v>
      </c>
      <c r="D64" s="5">
        <f>IF('Годовые данные'!$C$7="","",'Годовые данные'!$C$7*$I$4)</f>
        <v>63.994</v>
      </c>
      <c r="E64" s="4">
        <f>IF('Годовые данные'!$D$7="","",'Годовые данные'!$D$7*$J$4)</f>
        <v>0.23</v>
      </c>
      <c r="F64" s="6">
        <f>IF('Годовые данные'!$E$7="","",'Годовые данные'!$E$7*$J$4)</f>
        <v>0.105</v>
      </c>
      <c r="G64" s="1"/>
      <c r="H64" s="1"/>
      <c r="I64" s="1"/>
      <c r="J64" s="1"/>
    </row>
    <row r="65" spans="1:10">
      <c r="A65" s="3">
        <v>2013</v>
      </c>
      <c r="B65" s="1" t="s">
        <v>11</v>
      </c>
      <c r="C65" s="4">
        <f>IF('Годовые данные'!$B$7="","",'Годовые данные'!$B$7*$I$5)</f>
        <v>614.04</v>
      </c>
      <c r="D65" s="5">
        <f>IF('Годовые данные'!$C$7="","",'Годовые данные'!$C$7*$I$5)</f>
        <v>127.988</v>
      </c>
      <c r="E65" s="4">
        <f>IF('Годовые данные'!$D$7="","",'Годовые данные'!$D$7*$J$5)</f>
        <v>0.23</v>
      </c>
      <c r="F65" s="6">
        <f>IF('Годовые данные'!$E$7="","",'Годовые данные'!$E$7*$J$5)</f>
        <v>0.105</v>
      </c>
      <c r="G65" s="1"/>
      <c r="H65" s="1"/>
      <c r="I65" s="1"/>
      <c r="J65" s="1"/>
    </row>
    <row r="66" spans="1:10">
      <c r="A66" s="3">
        <v>2013</v>
      </c>
      <c r="B66" s="1" t="s">
        <v>12</v>
      </c>
      <c r="C66" s="4">
        <f>IF('Годовые данные'!$B$7="","",'Годовые данные'!$B$7*$I$6)</f>
        <v>1535.1000000000001</v>
      </c>
      <c r="D66" s="5">
        <f>IF('Годовые данные'!$C$7="","",'Годовые данные'!$C$7*$I$6)</f>
        <v>319.97000000000003</v>
      </c>
      <c r="E66" s="4">
        <f>IF('Годовые данные'!$D$7="","",'Годовые данные'!$D$7*$J$6)</f>
        <v>0.46</v>
      </c>
      <c r="F66" s="6">
        <f>IF('Годовые данные'!$E$7="","",'Годовые данные'!$E$7*$J$6)</f>
        <v>0.21</v>
      </c>
      <c r="G66" s="1"/>
      <c r="H66" s="1"/>
      <c r="I66" s="1"/>
      <c r="J66" s="1"/>
    </row>
    <row r="67" spans="1:10">
      <c r="A67" s="3">
        <v>2013</v>
      </c>
      <c r="B67" s="1" t="s">
        <v>13</v>
      </c>
      <c r="C67" s="4">
        <f>IF('Годовые данные'!$B$7="","",'Годовые данные'!$B$7*$I$7)</f>
        <v>2763.18</v>
      </c>
      <c r="D67" s="5">
        <f>IF('Годовые данные'!$C$7="","",'Годовые данные'!$C$7*$I$7)</f>
        <v>575.94599999999991</v>
      </c>
      <c r="E67" s="4">
        <f>IF('Годовые данные'!$D$7="","",'Годовые данные'!$D$7*$J$7)</f>
        <v>0.92</v>
      </c>
      <c r="F67" s="6">
        <f>IF('Годовые данные'!$E$7="","",'Годовые данные'!$E$7*$J$7)</f>
        <v>0.42</v>
      </c>
      <c r="G67" s="1"/>
      <c r="H67" s="1"/>
      <c r="I67" s="1"/>
      <c r="J67" s="1"/>
    </row>
    <row r="68" spans="1:10">
      <c r="A68" s="3">
        <v>2013</v>
      </c>
      <c r="B68" s="1" t="s">
        <v>14</v>
      </c>
      <c r="C68" s="4">
        <f>IF('Годовые данные'!$B$7="","",'Годовые данные'!$B$7*$I$8)</f>
        <v>3377.22</v>
      </c>
      <c r="D68" s="5">
        <f>IF('Годовые данные'!$C$7="","",'Годовые данные'!$C$7*$I$8)</f>
        <v>703.93399999999997</v>
      </c>
      <c r="E68" s="4">
        <f>IF('Годовые данные'!$D$7="","",'Годовые данные'!$D$7*$J$8)</f>
        <v>2.76</v>
      </c>
      <c r="F68" s="6">
        <f>IF('Годовые данные'!$E$7="","",'Годовые данные'!$E$7*$J$8)</f>
        <v>1.26</v>
      </c>
      <c r="G68" s="1"/>
      <c r="H68" s="1"/>
      <c r="I68" s="1"/>
      <c r="J68" s="1"/>
    </row>
    <row r="69" spans="1:10">
      <c r="A69" s="3">
        <v>2013</v>
      </c>
      <c r="B69" s="1" t="s">
        <v>15</v>
      </c>
      <c r="C69" s="4">
        <f>IF('Годовые данные'!$B$7="","",'Годовые данные'!$B$7*$I$9)</f>
        <v>2916.69</v>
      </c>
      <c r="D69" s="5">
        <f>IF('Годовые данные'!$C$7="","",'Годовые данные'!$C$7*$I$9)</f>
        <v>607.94299999999998</v>
      </c>
      <c r="E69" s="4">
        <f>IF('Годовые данные'!$D$7="","",'Годовые данные'!$D$7*$J$9)</f>
        <v>5.98</v>
      </c>
      <c r="F69" s="6">
        <f>IF('Годовые данные'!$E$7="","",'Годовые данные'!$E$7*$J$9)</f>
        <v>2.73</v>
      </c>
      <c r="G69" s="1"/>
      <c r="H69" s="1"/>
      <c r="I69" s="1"/>
      <c r="J69" s="1"/>
    </row>
    <row r="70" spans="1:10">
      <c r="A70" s="3">
        <v>2013</v>
      </c>
      <c r="B70" s="1" t="s">
        <v>16</v>
      </c>
      <c r="C70" s="4">
        <f>IF('Годовые данные'!$B$7="","",'Годовые данные'!$B$7*$I$10)</f>
        <v>1995.63</v>
      </c>
      <c r="D70" s="5">
        <f>IF('Годовые данные'!$C$7="","",'Годовые данные'!$C$7*$I$10)</f>
        <v>415.96100000000001</v>
      </c>
      <c r="E70" s="4">
        <f>IF('Годовые данные'!$D$7="","",'Годовые данные'!$D$7*$J$10)</f>
        <v>5.75</v>
      </c>
      <c r="F70" s="6">
        <f>IF('Годовые данные'!$E$7="","",'Годовые данные'!$E$7*$J$10)</f>
        <v>2.625</v>
      </c>
      <c r="G70" s="1"/>
      <c r="H70" s="1"/>
      <c r="I70" s="1"/>
      <c r="J70" s="1"/>
    </row>
    <row r="71" spans="1:10">
      <c r="A71" s="3">
        <v>2013</v>
      </c>
      <c r="B71" s="1" t="s">
        <v>17</v>
      </c>
      <c r="C71" s="4">
        <f>IF('Годовые данные'!$B$7="","",'Годовые данные'!$B$7*$I$11)</f>
        <v>921.06</v>
      </c>
      <c r="D71" s="5">
        <f>IF('Годовые данные'!$C$7="","",'Годовые данные'!$C$7*$I$11)</f>
        <v>191.98199999999997</v>
      </c>
      <c r="E71" s="4">
        <f>IF('Годовые данные'!$D$7="","",'Годовые данные'!$D$7*$J$11)</f>
        <v>3.4499999999999997</v>
      </c>
      <c r="F71" s="6">
        <f>IF('Годовые данные'!$E$7="","",'Годовые данные'!$E$7*$J$11)</f>
        <v>1.575</v>
      </c>
      <c r="G71" s="1"/>
      <c r="H71" s="1"/>
      <c r="I71" s="1"/>
      <c r="J71" s="1"/>
    </row>
    <row r="72" spans="1:10">
      <c r="A72" s="3">
        <v>2013</v>
      </c>
      <c r="B72" s="1" t="s">
        <v>18</v>
      </c>
      <c r="C72" s="4">
        <f>IF('Годовые данные'!$B$7="","",'Годовые данные'!$B$7*$I$12)</f>
        <v>460.53</v>
      </c>
      <c r="D72" s="5">
        <f>IF('Годовые данные'!$C$7="","",'Годовые данные'!$C$7*$I$12)</f>
        <v>95.990999999999985</v>
      </c>
      <c r="E72" s="4">
        <f>IF('Годовые данные'!$D$7="","",'Годовые данные'!$D$7*$J$12)</f>
        <v>1.84</v>
      </c>
      <c r="F72" s="6">
        <f>IF('Годовые данные'!$E$7="","",'Годовые данные'!$E$7*$J$12)</f>
        <v>0.84</v>
      </c>
      <c r="G72" s="1"/>
      <c r="H72" s="1"/>
      <c r="I72" s="1"/>
      <c r="J72" s="1"/>
    </row>
    <row r="73" spans="1:10">
      <c r="A73" s="3">
        <v>2013</v>
      </c>
      <c r="B73" s="1" t="s">
        <v>19</v>
      </c>
      <c r="C73" s="4">
        <f>IF('Годовые данные'!$B$7="","",'Годовые данные'!$B$7*$I$13)</f>
        <v>153.51</v>
      </c>
      <c r="D73" s="5">
        <f>IF('Годовые данные'!$C$7="","",'Годовые данные'!$C$7*$I$13)</f>
        <v>31.997</v>
      </c>
      <c r="E73" s="4">
        <f>IF('Годовые данные'!$D$7="","",'Годовые данные'!$D$7*$J$13)</f>
        <v>1.1500000000000001</v>
      </c>
      <c r="F73" s="6">
        <f>IF('Годовые данные'!$E$7="","",'Годовые данные'!$E$7*$J$13)</f>
        <v>0.52500000000000002</v>
      </c>
      <c r="G73" s="1"/>
      <c r="H73" s="1"/>
      <c r="I73" s="1"/>
      <c r="J73" s="1"/>
    </row>
    <row r="74" spans="1:10">
      <c r="A74" s="3">
        <v>2014</v>
      </c>
      <c r="B74" s="1" t="s">
        <v>8</v>
      </c>
      <c r="C74" s="4">
        <f>IF('Годовые данные'!$B$8="","",'Годовые данные'!$B$8*$I$2)</f>
        <v>190.51</v>
      </c>
      <c r="D74" s="5">
        <f>IF('Годовые данные'!$C$8="","",'Годовые данные'!$C$8*$I$2)</f>
        <v>49.011000000000003</v>
      </c>
      <c r="E74" s="4">
        <f>IF('Годовые данные'!$D$8="","",'Годовые данные'!$D$8*$J$2)</f>
        <v>1.4450000000000001</v>
      </c>
      <c r="F74" s="6">
        <f>IF('Годовые данные'!$E$8="","",'Годовые данные'!$E$8*$J$2)</f>
        <v>0.36600000000000005</v>
      </c>
      <c r="G74" s="1"/>
      <c r="H74" s="1"/>
      <c r="I74" s="1"/>
      <c r="J74" s="1"/>
    </row>
    <row r="75" spans="1:10">
      <c r="A75" s="3">
        <v>2014</v>
      </c>
      <c r="B75" s="1" t="s">
        <v>9</v>
      </c>
      <c r="C75" s="4">
        <f>IF('Годовые данные'!$B$8="","",'Годовые данные'!$B$8*$I$3)</f>
        <v>190.51</v>
      </c>
      <c r="D75" s="5">
        <f>IF('Годовые данные'!$C$8="","",'Годовые данные'!$C$8*$I$3)</f>
        <v>49.011000000000003</v>
      </c>
      <c r="E75" s="4">
        <f>IF('Годовые данные'!$D$8="","",'Годовые данные'!$D$8*$J$3)</f>
        <v>1.4450000000000001</v>
      </c>
      <c r="F75" s="6">
        <f>IF('Годовые данные'!$E$8="","",'Годовые данные'!$E$8*$J$3)</f>
        <v>0.36600000000000005</v>
      </c>
      <c r="G75" s="1"/>
      <c r="H75" s="1"/>
      <c r="I75" s="1"/>
      <c r="J75" s="1"/>
    </row>
    <row r="76" spans="1:10">
      <c r="A76" s="3">
        <v>2014</v>
      </c>
      <c r="B76" s="1" t="s">
        <v>10</v>
      </c>
      <c r="C76" s="4">
        <f>IF('Годовые данные'!$B$8="","",'Годовые данные'!$B$8*$I$4)</f>
        <v>381.02</v>
      </c>
      <c r="D76" s="5">
        <f>IF('Годовые данные'!$C$8="","",'Годовые данные'!$C$8*$I$4)</f>
        <v>98.022000000000006</v>
      </c>
      <c r="E76" s="4">
        <f>IF('Годовые данные'!$D$8="","",'Годовые данные'!$D$8*$J$4)</f>
        <v>2.89</v>
      </c>
      <c r="F76" s="6">
        <f>IF('Годовые данные'!$E$8="","",'Годовые данные'!$E$8*$J$4)</f>
        <v>0.7320000000000001</v>
      </c>
      <c r="G76" s="1"/>
      <c r="H76" s="1"/>
      <c r="I76" s="1"/>
      <c r="J76" s="1"/>
    </row>
    <row r="77" spans="1:10">
      <c r="A77" s="3">
        <v>2014</v>
      </c>
      <c r="B77" s="1" t="s">
        <v>11</v>
      </c>
      <c r="C77" s="4">
        <f>IF('Годовые данные'!$B$8="","",'Годовые данные'!$B$8*$I$5)</f>
        <v>762.04</v>
      </c>
      <c r="D77" s="5">
        <f>IF('Годовые данные'!$C$8="","",'Годовые данные'!$C$8*$I$5)</f>
        <v>196.04400000000001</v>
      </c>
      <c r="E77" s="4">
        <f>IF('Годовые данные'!$D$8="","",'Годовые данные'!$D$8*$J$5)</f>
        <v>2.89</v>
      </c>
      <c r="F77" s="6">
        <f>IF('Годовые данные'!$E$8="","",'Годовые данные'!$E$8*$J$5)</f>
        <v>0.7320000000000001</v>
      </c>
      <c r="G77" s="1"/>
      <c r="H77" s="1"/>
      <c r="I77" s="1"/>
      <c r="J77" s="1"/>
    </row>
    <row r="78" spans="1:10">
      <c r="A78" s="3">
        <v>2014</v>
      </c>
      <c r="B78" s="1" t="s">
        <v>12</v>
      </c>
      <c r="C78" s="4">
        <f>IF('Годовые данные'!$B$8="","",'Годовые данные'!$B$8*$I$6)</f>
        <v>1905.1000000000001</v>
      </c>
      <c r="D78" s="5">
        <f>IF('Годовые данные'!$C$8="","",'Годовые данные'!$C$8*$I$6)</f>
        <v>490.11000000000007</v>
      </c>
      <c r="E78" s="4">
        <f>IF('Годовые данные'!$D$8="","",'Годовые данные'!$D$8*$J$6)</f>
        <v>5.78</v>
      </c>
      <c r="F78" s="6">
        <f>IF('Годовые данные'!$E$8="","",'Годовые данные'!$E$8*$J$6)</f>
        <v>1.4640000000000002</v>
      </c>
      <c r="G78" s="1"/>
      <c r="H78" s="1"/>
      <c r="I78" s="1"/>
      <c r="J78" s="1"/>
    </row>
    <row r="79" spans="1:10">
      <c r="A79" s="3">
        <v>2014</v>
      </c>
      <c r="B79" s="1" t="s">
        <v>13</v>
      </c>
      <c r="C79" s="4">
        <f>IF('Годовые данные'!$B$8="","",'Годовые данные'!$B$8*$I$7)</f>
        <v>3429.18</v>
      </c>
      <c r="D79" s="5">
        <f>IF('Годовые данные'!$C$8="","",'Годовые данные'!$C$8*$I$7)</f>
        <v>882.19799999999998</v>
      </c>
      <c r="E79" s="4">
        <f>IF('Годовые данные'!$D$8="","",'Годовые данные'!$D$8*$J$7)</f>
        <v>11.56</v>
      </c>
      <c r="F79" s="6">
        <f>IF('Годовые данные'!$E$8="","",'Годовые данные'!$E$8*$J$7)</f>
        <v>2.9280000000000004</v>
      </c>
      <c r="G79" s="1"/>
      <c r="H79" s="1"/>
      <c r="I79" s="1"/>
      <c r="J79" s="1"/>
    </row>
    <row r="80" spans="1:10">
      <c r="A80" s="3">
        <v>2014</v>
      </c>
      <c r="B80" s="1" t="s">
        <v>14</v>
      </c>
      <c r="C80" s="4">
        <f>IF('Годовые данные'!$B$8="","",'Годовые данные'!$B$8*$I$8)</f>
        <v>4191.22</v>
      </c>
      <c r="D80" s="5">
        <f>IF('Годовые данные'!$C$8="","",'Годовые данные'!$C$8*$I$8)</f>
        <v>1078.2420000000002</v>
      </c>
      <c r="E80" s="4">
        <f>IF('Годовые данные'!$D$8="","",'Годовые данные'!$D$8*$J$8)</f>
        <v>34.68</v>
      </c>
      <c r="F80" s="6">
        <f>IF('Годовые данные'!$E$8="","",'Годовые данные'!$E$8*$J$8)</f>
        <v>8.7840000000000007</v>
      </c>
      <c r="G80" s="1"/>
      <c r="H80" s="1"/>
      <c r="I80" s="1"/>
      <c r="J80" s="1"/>
    </row>
    <row r="81" spans="1:10">
      <c r="A81" s="3">
        <v>2014</v>
      </c>
      <c r="B81" s="1" t="s">
        <v>15</v>
      </c>
      <c r="C81" s="4">
        <f>IF('Годовые данные'!$B$8="","",'Годовые данные'!$B$8*$I$9)</f>
        <v>3619.69</v>
      </c>
      <c r="D81" s="5">
        <f>IF('Годовые данные'!$C$8="","",'Годовые данные'!$C$8*$I$9)</f>
        <v>931.20900000000006</v>
      </c>
      <c r="E81" s="4">
        <f>IF('Годовые данные'!$D$8="","",'Годовые данные'!$D$8*$J$9)</f>
        <v>75.14</v>
      </c>
      <c r="F81" s="6">
        <f>IF('Годовые данные'!$E$8="","",'Годовые данные'!$E$8*$J$9)</f>
        <v>19.032</v>
      </c>
      <c r="G81" s="1"/>
      <c r="H81" s="1"/>
      <c r="I81" s="1"/>
      <c r="J81" s="1"/>
    </row>
    <row r="82" spans="1:10">
      <c r="A82" s="3">
        <v>2014</v>
      </c>
      <c r="B82" s="1" t="s">
        <v>16</v>
      </c>
      <c r="C82" s="4">
        <f>IF('Годовые данные'!$B$8="","",'Годовые данные'!$B$8*$I$10)</f>
        <v>2476.63</v>
      </c>
      <c r="D82" s="5">
        <f>IF('Годовые данные'!$C$8="","",'Годовые данные'!$C$8*$I$10)</f>
        <v>637.14300000000003</v>
      </c>
      <c r="E82" s="4">
        <f>IF('Годовые данные'!$D$8="","",'Годовые данные'!$D$8*$J$10)</f>
        <v>72.25</v>
      </c>
      <c r="F82" s="6">
        <f>IF('Годовые данные'!$E$8="","",'Годовые данные'!$E$8*$J$10)</f>
        <v>18.3</v>
      </c>
      <c r="G82" s="1"/>
      <c r="H82" s="1"/>
      <c r="I82" s="1"/>
      <c r="J82" s="1"/>
    </row>
    <row r="83" spans="1:10">
      <c r="A83" s="3">
        <v>2014</v>
      </c>
      <c r="B83" s="1" t="s">
        <v>17</v>
      </c>
      <c r="C83" s="4">
        <f>IF('Годовые данные'!$B$8="","",'Годовые данные'!$B$8*$I$11)</f>
        <v>1143.06</v>
      </c>
      <c r="D83" s="5">
        <f>IF('Годовые данные'!$C$8="","",'Годовые данные'!$C$8*$I$11)</f>
        <v>294.06600000000003</v>
      </c>
      <c r="E83" s="4">
        <f>IF('Годовые данные'!$D$8="","",'Годовые данные'!$D$8*$J$11)</f>
        <v>43.35</v>
      </c>
      <c r="F83" s="6">
        <f>IF('Годовые данные'!$E$8="","",'Годовые данные'!$E$8*$J$11)</f>
        <v>10.98</v>
      </c>
      <c r="G83" s="1"/>
      <c r="H83" s="1"/>
      <c r="I83" s="1"/>
      <c r="J83" s="1"/>
    </row>
    <row r="84" spans="1:10">
      <c r="A84" s="3">
        <v>2014</v>
      </c>
      <c r="B84" s="1" t="s">
        <v>18</v>
      </c>
      <c r="C84" s="4">
        <f>IF('Годовые данные'!$B$8="","",'Годовые данные'!$B$8*$I$12)</f>
        <v>571.53</v>
      </c>
      <c r="D84" s="5">
        <f>IF('Годовые данные'!$C$8="","",'Годовые данные'!$C$8*$I$12)</f>
        <v>147.03300000000002</v>
      </c>
      <c r="E84" s="4">
        <f>IF('Годовые данные'!$D$8="","",'Годовые данные'!$D$8*$J$12)</f>
        <v>23.12</v>
      </c>
      <c r="F84" s="6">
        <f>IF('Годовые данные'!$E$8="","",'Годовые данные'!$E$8*$J$12)</f>
        <v>5.8560000000000008</v>
      </c>
      <c r="G84" s="1"/>
      <c r="H84" s="1"/>
      <c r="I84" s="1"/>
      <c r="J84" s="1"/>
    </row>
    <row r="85" spans="1:10">
      <c r="A85" s="3">
        <v>2014</v>
      </c>
      <c r="B85" s="1" t="s">
        <v>19</v>
      </c>
      <c r="C85" s="4">
        <f>IF('Годовые данные'!$B$8="","",'Годовые данные'!$B$8*$I$13)</f>
        <v>190.51</v>
      </c>
      <c r="D85" s="5">
        <f>IF('Годовые данные'!$C$8="","",'Годовые данные'!$C$8*$I$13)</f>
        <v>49.011000000000003</v>
      </c>
      <c r="E85" s="4">
        <f>IF('Годовые данные'!$D$8="","",'Годовые данные'!$D$8*$J$13)</f>
        <v>14.450000000000001</v>
      </c>
      <c r="F85" s="6">
        <f>IF('Годовые данные'!$E$8="","",'Годовые данные'!$E$8*$J$13)</f>
        <v>3.66</v>
      </c>
      <c r="G85" s="1"/>
      <c r="H85" s="1"/>
      <c r="I85" s="1"/>
      <c r="J85" s="1"/>
    </row>
    <row r="86" spans="1:10">
      <c r="A86" s="3">
        <v>2015</v>
      </c>
      <c r="B86" s="1" t="s">
        <v>8</v>
      </c>
      <c r="C86" s="4">
        <f>IF('Годовые данные'!$B$9="","",'Годовые данные'!$B$9*$I$2)</f>
        <v>219.21</v>
      </c>
      <c r="D86" s="5">
        <f>IF('Годовые данные'!$C$9="","",'Годовые данные'!$C$9*$I$2)</f>
        <v>42.258000000000003</v>
      </c>
      <c r="E86" s="4">
        <f>IF('Годовые данные'!$D$9="","",'Годовые данные'!$D$9*$J$2)</f>
        <v>2.56</v>
      </c>
      <c r="F86" s="6">
        <f>IF('Годовые данные'!$E$9="","",'Годовые данные'!$E$9*$J$2)</f>
        <v>0.47549999999999998</v>
      </c>
      <c r="G86" s="1"/>
      <c r="H86" s="1"/>
      <c r="I86" s="1"/>
      <c r="J86" s="1"/>
    </row>
    <row r="87" spans="1:10">
      <c r="A87" s="3">
        <v>2015</v>
      </c>
      <c r="B87" s="1" t="s">
        <v>9</v>
      </c>
      <c r="C87" s="4">
        <f>IF('Годовые данные'!$B$9="","",'Годовые данные'!$B$9*$I$3)</f>
        <v>219.21</v>
      </c>
      <c r="D87" s="5">
        <f>IF('Годовые данные'!$C$9="","",'Годовые данные'!$C$9*$I$3)</f>
        <v>42.258000000000003</v>
      </c>
      <c r="E87" s="4">
        <f>IF('Годовые данные'!$D$9="","",'Годовые данные'!$D$9*$J$3)</f>
        <v>2.56</v>
      </c>
      <c r="F87" s="6">
        <f>IF('Годовые данные'!$E$9="","",'Годовые данные'!$E$9*$J$3)</f>
        <v>0.47549999999999998</v>
      </c>
      <c r="G87" s="1"/>
      <c r="H87" s="1"/>
      <c r="I87" s="1"/>
      <c r="J87" s="1"/>
    </row>
    <row r="88" spans="1:10">
      <c r="A88" s="3">
        <v>2015</v>
      </c>
      <c r="B88" s="1" t="s">
        <v>10</v>
      </c>
      <c r="C88" s="4">
        <f>IF('Годовые данные'!$B$9="","",'Годовые данные'!$B$9*$I$4)</f>
        <v>438.42</v>
      </c>
      <c r="D88" s="5">
        <f>IF('Годовые данные'!$C$9="","",'Годовые данные'!$C$9*$I$4)</f>
        <v>84.516000000000005</v>
      </c>
      <c r="E88" s="4">
        <f>IF('Годовые данные'!$D$9="","",'Годовые данные'!$D$9*$J$4)</f>
        <v>5.12</v>
      </c>
      <c r="F88" s="6">
        <f>IF('Годовые данные'!$E$9="","",'Годовые данные'!$E$9*$J$4)</f>
        <v>0.95099999999999996</v>
      </c>
      <c r="G88" s="1"/>
      <c r="H88" s="1"/>
      <c r="I88" s="1"/>
      <c r="J88" s="1"/>
    </row>
    <row r="89" spans="1:10">
      <c r="A89" s="3">
        <v>2015</v>
      </c>
      <c r="B89" s="1" t="s">
        <v>11</v>
      </c>
      <c r="C89" s="4">
        <f>IF('Годовые данные'!$B$9="","",'Годовые данные'!$B$9*$I$5)</f>
        <v>876.84</v>
      </c>
      <c r="D89" s="5">
        <f>IF('Годовые данные'!$C$9="","",'Годовые данные'!$C$9*$I$5)</f>
        <v>169.03200000000001</v>
      </c>
      <c r="E89" s="4">
        <f>IF('Годовые данные'!$D$9="","",'Годовые данные'!$D$9*$J$5)</f>
        <v>5.12</v>
      </c>
      <c r="F89" s="6">
        <f>IF('Годовые данные'!$E$9="","",'Годовые данные'!$E$9*$J$5)</f>
        <v>0.95099999999999996</v>
      </c>
      <c r="G89" s="1"/>
      <c r="H89" s="1"/>
      <c r="I89" s="1"/>
      <c r="J89" s="1"/>
    </row>
    <row r="90" spans="1:10">
      <c r="A90" s="3">
        <v>2015</v>
      </c>
      <c r="B90" s="1" t="s">
        <v>12</v>
      </c>
      <c r="C90" s="4">
        <f>IF('Годовые данные'!$B$9="","",'Годовые данные'!$B$9*$I$6)</f>
        <v>2192.1</v>
      </c>
      <c r="D90" s="5">
        <f>IF('Годовые данные'!$C$9="","",'Годовые данные'!$C$9*$I$6)</f>
        <v>422.58000000000004</v>
      </c>
      <c r="E90" s="4">
        <f>IF('Годовые данные'!$D$9="","",'Годовые данные'!$D$9*$J$6)</f>
        <v>10.24</v>
      </c>
      <c r="F90" s="6">
        <f>IF('Годовые данные'!$E$9="","",'Годовые данные'!$E$9*$J$6)</f>
        <v>1.9019999999999999</v>
      </c>
      <c r="G90" s="1"/>
      <c r="H90" s="1"/>
      <c r="I90" s="1"/>
      <c r="J90" s="1"/>
    </row>
    <row r="91" spans="1:10">
      <c r="A91" s="3">
        <v>2015</v>
      </c>
      <c r="B91" s="1" t="s">
        <v>13</v>
      </c>
      <c r="C91" s="4">
        <f>IF('Годовые данные'!$B$9="","",'Годовые данные'!$B$9*$I$7)</f>
        <v>3945.7799999999997</v>
      </c>
      <c r="D91" s="5">
        <f>IF('Годовые данные'!$C$9="","",'Годовые данные'!$C$9*$I$7)</f>
        <v>760.64400000000001</v>
      </c>
      <c r="E91" s="4">
        <f>IF('Годовые данные'!$D$9="","",'Годовые данные'!$D$9*$J$7)</f>
        <v>20.48</v>
      </c>
      <c r="F91" s="6">
        <f>IF('Годовые данные'!$E$9="","",'Годовые данные'!$E$9*$J$7)</f>
        <v>3.8039999999999998</v>
      </c>
      <c r="G91" s="1"/>
      <c r="H91" s="1"/>
      <c r="I91" s="1"/>
      <c r="J91" s="1"/>
    </row>
    <row r="92" spans="1:10">
      <c r="A92" s="3">
        <v>2015</v>
      </c>
      <c r="B92" s="1" t="s">
        <v>14</v>
      </c>
      <c r="C92" s="4">
        <f>IF('Годовые данные'!$B$9="","",'Годовые данные'!$B$9*$I$8)</f>
        <v>4822.62</v>
      </c>
      <c r="D92" s="5">
        <f>IF('Годовые данные'!$C$9="","",'Годовые данные'!$C$9*$I$8)</f>
        <v>929.67600000000004</v>
      </c>
      <c r="E92" s="4">
        <f>IF('Годовые данные'!$D$9="","",'Годовые данные'!$D$9*$J$8)</f>
        <v>61.44</v>
      </c>
      <c r="F92" s="6">
        <f>IF('Годовые данные'!$E$9="","",'Годовые данные'!$E$9*$J$8)</f>
        <v>11.411999999999999</v>
      </c>
      <c r="G92" s="1"/>
      <c r="H92" s="1"/>
      <c r="I92" s="1"/>
      <c r="J92" s="1"/>
    </row>
    <row r="93" spans="1:10">
      <c r="A93" s="3">
        <v>2015</v>
      </c>
      <c r="B93" s="1" t="s">
        <v>15</v>
      </c>
      <c r="C93" s="4">
        <f>IF('Годовые данные'!$B$9="","",'Годовые данные'!$B$9*$I$9)</f>
        <v>4164.99</v>
      </c>
      <c r="D93" s="5">
        <f>IF('Годовые данные'!$C$9="","",'Годовые данные'!$C$9*$I$9)</f>
        <v>802.90200000000004</v>
      </c>
      <c r="E93" s="4">
        <f>IF('Годовые данные'!$D$9="","",'Годовые данные'!$D$9*$J$9)</f>
        <v>133.12</v>
      </c>
      <c r="F93" s="6">
        <f>IF('Годовые данные'!$E$9="","",'Годовые данные'!$E$9*$J$9)</f>
        <v>24.725999999999999</v>
      </c>
      <c r="G93" s="1"/>
      <c r="H93" s="1"/>
      <c r="I93" s="1"/>
      <c r="J93" s="1"/>
    </row>
    <row r="94" spans="1:10">
      <c r="A94" s="3">
        <v>2015</v>
      </c>
      <c r="B94" s="1" t="s">
        <v>16</v>
      </c>
      <c r="C94" s="4">
        <f>IF('Годовые данные'!$B$9="","",'Годовые данные'!$B$9*$I$10)</f>
        <v>2849.73</v>
      </c>
      <c r="D94" s="5">
        <f>IF('Годовые данные'!$C$9="","",'Годовые данные'!$C$9*$I$10)</f>
        <v>549.35400000000004</v>
      </c>
      <c r="E94" s="4">
        <f>IF('Годовые данные'!$D$9="","",'Годовые данные'!$D$9*$J$10)</f>
        <v>128</v>
      </c>
      <c r="F94" s="6">
        <f>IF('Годовые данные'!$E$9="","",'Годовые данные'!$E$9*$J$10)</f>
        <v>23.774999999999999</v>
      </c>
      <c r="G94" s="1"/>
      <c r="H94" s="1"/>
      <c r="I94" s="1"/>
      <c r="J94" s="1"/>
    </row>
    <row r="95" spans="1:10">
      <c r="A95" s="3">
        <v>2015</v>
      </c>
      <c r="B95" s="1" t="s">
        <v>17</v>
      </c>
      <c r="C95" s="4">
        <f>IF('Годовые данные'!$B$9="","",'Годовые данные'!$B$9*$I$11)</f>
        <v>1315.26</v>
      </c>
      <c r="D95" s="5">
        <f>IF('Годовые данные'!$C$9="","",'Годовые данные'!$C$9*$I$11)</f>
        <v>253.548</v>
      </c>
      <c r="E95" s="4">
        <f>IF('Годовые данные'!$D$9="","",'Годовые данные'!$D$9*$J$11)</f>
        <v>76.8</v>
      </c>
      <c r="F95" s="6">
        <f>IF('Годовые данные'!$E$9="","",'Годовые данные'!$E$9*$J$11)</f>
        <v>14.264999999999999</v>
      </c>
      <c r="G95" s="1"/>
      <c r="H95" s="1"/>
      <c r="I95" s="1"/>
      <c r="J95" s="1"/>
    </row>
    <row r="96" spans="1:10">
      <c r="A96" s="3">
        <v>2015</v>
      </c>
      <c r="B96" s="1" t="s">
        <v>18</v>
      </c>
      <c r="C96" s="4">
        <f>IF('Годовые данные'!$B$9="","",'Годовые данные'!$B$9*$I$12)</f>
        <v>657.63</v>
      </c>
      <c r="D96" s="5">
        <f>IF('Годовые данные'!$C$9="","",'Годовые данные'!$C$9*$I$12)</f>
        <v>126.774</v>
      </c>
      <c r="E96" s="4">
        <f>IF('Годовые данные'!$D$9="","",'Годовые данные'!$D$9*$J$12)</f>
        <v>40.96</v>
      </c>
      <c r="F96" s="6">
        <f>IF('Годовые данные'!$E$9="","",'Годовые данные'!$E$9*$J$12)</f>
        <v>7.6079999999999997</v>
      </c>
      <c r="G96" s="1"/>
      <c r="H96" s="1"/>
      <c r="I96" s="1"/>
      <c r="J96" s="1"/>
    </row>
    <row r="97" spans="1:10">
      <c r="A97" s="3">
        <v>2015</v>
      </c>
      <c r="B97" s="1" t="s">
        <v>19</v>
      </c>
      <c r="C97" s="4">
        <f>IF('Годовые данные'!$B$9="","",'Годовые данные'!$B$9*$I$13)</f>
        <v>219.21</v>
      </c>
      <c r="D97" s="5">
        <f>IF('Годовые данные'!$C$9="","",'Годовые данные'!$C$9*$I$13)</f>
        <v>42.258000000000003</v>
      </c>
      <c r="E97" s="4">
        <f>IF('Годовые данные'!$D$9="","",'Годовые данные'!$D$9*$J$13)</f>
        <v>25.6</v>
      </c>
      <c r="F97" s="6">
        <f>IF('Годовые данные'!$E$9="","",'Годовые данные'!$E$9*$J$13)</f>
        <v>4.7549999999999999</v>
      </c>
      <c r="G97" s="1"/>
      <c r="H97" s="1"/>
      <c r="I97" s="1"/>
      <c r="J97" s="1"/>
    </row>
    <row r="98" spans="1:10">
      <c r="A98" s="3">
        <v>2016</v>
      </c>
      <c r="B98" s="1" t="s">
        <v>8</v>
      </c>
      <c r="C98" s="4">
        <f>IF('Годовые данные'!$B$10="","",'Годовые данные'!$B$10*$I$2)</f>
        <v>179.16</v>
      </c>
      <c r="D98" s="5">
        <f>IF('Годовые данные'!$C$10="","",'Годовые данные'!$C$10*$I$2)</f>
        <v>45.228000000000002</v>
      </c>
      <c r="E98" s="4">
        <f>IF('Годовые данные'!$D$10="","",'Годовые данные'!$D$10*$J$2)</f>
        <v>0.41500000000000004</v>
      </c>
      <c r="F98" s="6">
        <f>IF('Годовые данные'!$E$10="","",'Годовые данные'!$E$10*$J$2)</f>
        <v>7.0000000000000007E-2</v>
      </c>
      <c r="G98" s="1"/>
      <c r="H98" s="1"/>
      <c r="I98" s="1"/>
      <c r="J98" s="1"/>
    </row>
    <row r="99" spans="1:10">
      <c r="A99" s="3">
        <v>2016</v>
      </c>
      <c r="B99" s="1" t="s">
        <v>9</v>
      </c>
      <c r="C99" s="4">
        <f>IF('Годовые данные'!$B$10="","",'Годовые данные'!$B$10*$I$3)</f>
        <v>179.16</v>
      </c>
      <c r="D99" s="5">
        <f>IF('Годовые данные'!$C$10="","",'Годовые данные'!$C$10*$I$3)</f>
        <v>45.228000000000002</v>
      </c>
      <c r="E99" s="4">
        <f>IF('Годовые данные'!$D$10="","",'Годовые данные'!$D$10*$J$3)</f>
        <v>0.41500000000000004</v>
      </c>
      <c r="F99" s="6">
        <f>IF('Годовые данные'!$E$10="","",'Годовые данные'!$E$10*$J$3)</f>
        <v>7.0000000000000007E-2</v>
      </c>
      <c r="G99" s="1"/>
      <c r="H99" s="1"/>
      <c r="I99" s="1"/>
      <c r="J99" s="1"/>
    </row>
    <row r="100" spans="1:10">
      <c r="A100" s="3">
        <v>2016</v>
      </c>
      <c r="B100" s="1" t="s">
        <v>10</v>
      </c>
      <c r="C100" s="4">
        <f>IF('Годовые данные'!$B$10="","",'Годовые данные'!$B$10*$I$4)</f>
        <v>358.32</v>
      </c>
      <c r="D100" s="5">
        <f>IF('Годовые данные'!$C$10="","",'Годовые данные'!$C$10*$I$4)</f>
        <v>90.456000000000003</v>
      </c>
      <c r="E100" s="4">
        <f>IF('Годовые данные'!$D$10="","",'Годовые данные'!$D$10*$J$4)</f>
        <v>0.83000000000000007</v>
      </c>
      <c r="F100" s="6">
        <f>IF('Годовые данные'!$E$10="","",'Годовые данные'!$E$10*$J$4)</f>
        <v>0.14000000000000001</v>
      </c>
      <c r="G100" s="1"/>
      <c r="H100" s="1"/>
      <c r="I100" s="1"/>
      <c r="J100" s="1"/>
    </row>
    <row r="101" spans="1:10">
      <c r="A101" s="3">
        <v>2016</v>
      </c>
      <c r="B101" s="1" t="s">
        <v>11</v>
      </c>
      <c r="C101" s="4">
        <f>IF('Годовые данные'!$B$10="","",'Годовые данные'!$B$10*$I$5)</f>
        <v>716.64</v>
      </c>
      <c r="D101" s="5">
        <f>IF('Годовые данные'!$C$10="","",'Годовые данные'!$C$10*$I$5)</f>
        <v>180.91200000000001</v>
      </c>
      <c r="E101" s="4">
        <f>IF('Годовые данные'!$D$10="","",'Годовые данные'!$D$10*$J$5)</f>
        <v>0.83000000000000007</v>
      </c>
      <c r="F101" s="6">
        <f>IF('Годовые данные'!$E$10="","",'Годовые данные'!$E$10*$J$5)</f>
        <v>0.14000000000000001</v>
      </c>
      <c r="G101" s="1"/>
      <c r="H101" s="1"/>
      <c r="I101" s="1"/>
      <c r="J101" s="1"/>
    </row>
    <row r="102" spans="1:10">
      <c r="A102" s="3">
        <v>2016</v>
      </c>
      <c r="B102" s="1" t="s">
        <v>12</v>
      </c>
      <c r="C102" s="4">
        <f>IF('Годовые данные'!$B$10="","",'Годовые данные'!$B$10*$I$6)</f>
        <v>1791.6000000000001</v>
      </c>
      <c r="D102" s="5">
        <f>IF('Годовые данные'!$C$10="","",'Годовые данные'!$C$10*$I$6)</f>
        <v>452.28000000000003</v>
      </c>
      <c r="E102" s="4">
        <f>IF('Годовые данные'!$D$10="","",'Годовые данные'!$D$10*$J$6)</f>
        <v>1.6600000000000001</v>
      </c>
      <c r="F102" s="6">
        <f>IF('Годовые данные'!$E$10="","",'Годовые данные'!$E$10*$J$6)</f>
        <v>0.28000000000000003</v>
      </c>
      <c r="G102" s="1"/>
      <c r="H102" s="1"/>
      <c r="I102" s="1"/>
      <c r="J102" s="1"/>
    </row>
    <row r="103" spans="1:10">
      <c r="A103" s="3">
        <v>2016</v>
      </c>
      <c r="B103" s="1" t="s">
        <v>13</v>
      </c>
      <c r="C103" s="4">
        <f>IF('Годовые данные'!$B$10="","",'Годовые данные'!$B$10*$I$7)</f>
        <v>3224.8799999999997</v>
      </c>
      <c r="D103" s="5">
        <f>IF('Годовые данные'!$C$10="","",'Годовые данные'!$C$10*$I$7)</f>
        <v>814.10400000000004</v>
      </c>
      <c r="E103" s="4">
        <f>IF('Годовые данные'!$D$10="","",'Годовые данные'!$D$10*$J$7)</f>
        <v>3.3200000000000003</v>
      </c>
      <c r="F103" s="6">
        <f>IF('Годовые данные'!$E$10="","",'Годовые данные'!$E$10*$J$7)</f>
        <v>0.56000000000000005</v>
      </c>
      <c r="G103" s="1"/>
      <c r="H103" s="1"/>
      <c r="I103" s="1"/>
      <c r="J103" s="1"/>
    </row>
    <row r="104" spans="1:10">
      <c r="A104" s="3">
        <v>2016</v>
      </c>
      <c r="B104" s="1" t="s">
        <v>14</v>
      </c>
      <c r="C104" s="4">
        <f>IF('Годовые данные'!$B$10="","",'Годовые данные'!$B$10*$I$8)</f>
        <v>3941.52</v>
      </c>
      <c r="D104" s="5">
        <f>IF('Годовые данные'!$C$10="","",'Годовые данные'!$C$10*$I$8)</f>
        <v>995.01600000000008</v>
      </c>
      <c r="E104" s="4">
        <f>IF('Годовые данные'!$D$10="","",'Годовые данные'!$D$10*$J$8)</f>
        <v>9.9599999999999991</v>
      </c>
      <c r="F104" s="6">
        <f>IF('Годовые данные'!$E$10="","",'Годовые данные'!$E$10*$J$8)</f>
        <v>1.68</v>
      </c>
      <c r="G104" s="1"/>
      <c r="H104" s="1"/>
      <c r="I104" s="1"/>
      <c r="J104" s="1"/>
    </row>
    <row r="105" spans="1:10">
      <c r="A105" s="3">
        <v>2016</v>
      </c>
      <c r="B105" s="1" t="s">
        <v>15</v>
      </c>
      <c r="C105" s="4">
        <f>IF('Годовые данные'!$B$10="","",'Годовые данные'!$B$10*$I$9)</f>
        <v>3404.04</v>
      </c>
      <c r="D105" s="5">
        <f>IF('Годовые данные'!$C$10="","",'Годовые данные'!$C$10*$I$9)</f>
        <v>859.33199999999999</v>
      </c>
      <c r="E105" s="4">
        <f>IF('Годовые данные'!$D$10="","",'Годовые данные'!$D$10*$J$9)</f>
        <v>21.580000000000002</v>
      </c>
      <c r="F105" s="6">
        <f>IF('Годовые данные'!$E$10="","",'Годовые данные'!$E$10*$J$9)</f>
        <v>3.64</v>
      </c>
      <c r="G105" s="1"/>
      <c r="H105" s="1"/>
      <c r="I105" s="1"/>
      <c r="J105" s="1"/>
    </row>
    <row r="106" spans="1:10">
      <c r="A106" s="3">
        <v>2016</v>
      </c>
      <c r="B106" s="1" t="s">
        <v>16</v>
      </c>
      <c r="C106" s="4">
        <f>IF('Годовые данные'!$B$10="","",'Годовые данные'!$B$10*$I$10)</f>
        <v>2329.08</v>
      </c>
      <c r="D106" s="5">
        <f>IF('Годовые данные'!$C$10="","",'Годовые данные'!$C$10*$I$10)</f>
        <v>587.96400000000006</v>
      </c>
      <c r="E106" s="4">
        <f>IF('Годовые данные'!$D$10="","",'Годовые данные'!$D$10*$J$10)</f>
        <v>20.75</v>
      </c>
      <c r="F106" s="6">
        <f>IF('Годовые данные'!$E$10="","",'Годовые данные'!$E$10*$J$10)</f>
        <v>3.5</v>
      </c>
      <c r="G106" s="1"/>
      <c r="H106" s="1"/>
      <c r="I106" s="1"/>
      <c r="J106" s="1"/>
    </row>
    <row r="107" spans="1:10">
      <c r="A107" s="3">
        <v>2016</v>
      </c>
      <c r="B107" s="1" t="s">
        <v>17</v>
      </c>
      <c r="C107" s="4">
        <f>IF('Годовые данные'!$B$10="","",'Годовые данные'!$B$10*$I$11)</f>
        <v>1074.96</v>
      </c>
      <c r="D107" s="5">
        <f>IF('Годовые данные'!$C$10="","",'Годовые данные'!$C$10*$I$11)</f>
        <v>271.36799999999999</v>
      </c>
      <c r="E107" s="4">
        <f>IF('Годовые данные'!$D$10="","",'Годовые данные'!$D$10*$J$11)</f>
        <v>12.45</v>
      </c>
      <c r="F107" s="6">
        <f>IF('Годовые данные'!$E$10="","",'Годовые данные'!$E$10*$J$11)</f>
        <v>2.1</v>
      </c>
      <c r="G107" s="1"/>
      <c r="H107" s="1"/>
      <c r="I107" s="1"/>
      <c r="J107" s="1"/>
    </row>
    <row r="108" spans="1:10">
      <c r="A108" s="3">
        <v>2016</v>
      </c>
      <c r="B108" s="1" t="s">
        <v>18</v>
      </c>
      <c r="C108" s="4">
        <f>IF('Годовые данные'!$B$10="","",'Годовые данные'!$B$10*$I$12)</f>
        <v>537.48</v>
      </c>
      <c r="D108" s="5">
        <f>IF('Годовые данные'!$C$10="","",'Годовые данные'!$C$10*$I$12)</f>
        <v>135.684</v>
      </c>
      <c r="E108" s="4">
        <f>IF('Годовые данные'!$D$10="","",'Годовые данные'!$D$10*$J$12)</f>
        <v>6.6400000000000006</v>
      </c>
      <c r="F108" s="6">
        <f>IF('Годовые данные'!$E$10="","",'Годовые данные'!$E$10*$J$12)</f>
        <v>1.1200000000000001</v>
      </c>
      <c r="G108" s="1"/>
      <c r="H108" s="1"/>
      <c r="I108" s="1"/>
      <c r="J108" s="1"/>
    </row>
    <row r="109" spans="1:10">
      <c r="A109" s="3">
        <v>2016</v>
      </c>
      <c r="B109" s="1" t="s">
        <v>19</v>
      </c>
      <c r="C109" s="4">
        <f>IF('Годовые данные'!$B$10="","",'Годовые данные'!$B$10*$I$13)</f>
        <v>179.16</v>
      </c>
      <c r="D109" s="5">
        <f>IF('Годовые данные'!$C$10="","",'Годовые данные'!$C$10*$I$13)</f>
        <v>45.228000000000002</v>
      </c>
      <c r="E109" s="4">
        <f>IF('Годовые данные'!$D$10="","",'Годовые данные'!$D$10*$J$13)</f>
        <v>4.1500000000000004</v>
      </c>
      <c r="F109" s="6">
        <f>IF('Годовые данные'!$E$10="","",'Годовые данные'!$E$10*$J$13)</f>
        <v>0.70000000000000007</v>
      </c>
      <c r="G109" s="1"/>
      <c r="H109" s="1"/>
      <c r="I109" s="1"/>
      <c r="J109" s="1"/>
    </row>
    <row r="110" spans="1:10">
      <c r="A110" s="3">
        <v>2017</v>
      </c>
      <c r="B110" s="1" t="s">
        <v>8</v>
      </c>
      <c r="C110" s="4">
        <f>IF('Годовые данные'!$B$11="","",'Годовые данные'!$B$11*$I$2)</f>
        <v>247.8</v>
      </c>
      <c r="D110" s="5">
        <f>IF('Годовые данные'!$C$11="","",'Годовые данные'!$C$11*$I$2)</f>
        <v>45.85</v>
      </c>
      <c r="E110" s="4">
        <f>IF('Годовые данные'!$D$11="","",'Годовые данные'!$D$11*$J$2)</f>
        <v>1.4850000000000001</v>
      </c>
      <c r="F110" s="6">
        <f>IF('Годовые данные'!$E$11="","",'Годовые данные'!$E$11*$J$2)</f>
        <v>0.31850000000000001</v>
      </c>
      <c r="G110" s="1"/>
      <c r="H110" s="1"/>
      <c r="I110" s="1"/>
      <c r="J110" s="1"/>
    </row>
    <row r="111" spans="1:10">
      <c r="A111" s="3">
        <v>2017</v>
      </c>
      <c r="B111" s="1" t="s">
        <v>9</v>
      </c>
      <c r="C111" s="4">
        <f>IF('Годовые данные'!$B$11="","",'Годовые данные'!$B$11*$I$3)</f>
        <v>247.8</v>
      </c>
      <c r="D111" s="5">
        <f>IF('Годовые данные'!$C$11="","",'Годовые данные'!$C$11*$I$3)</f>
        <v>45.85</v>
      </c>
      <c r="E111" s="4">
        <f>IF('Годовые данные'!$D$11="","",'Годовые данные'!$D$11*$J$3)</f>
        <v>1.4850000000000001</v>
      </c>
      <c r="F111" s="6">
        <f>IF('Годовые данные'!$E$11="","",'Годовые данные'!$E$11*$J$3)</f>
        <v>0.31850000000000001</v>
      </c>
      <c r="G111" s="1"/>
      <c r="H111" s="1"/>
      <c r="I111" s="1"/>
      <c r="J111" s="1"/>
    </row>
    <row r="112" spans="1:10">
      <c r="A112" s="3">
        <v>2017</v>
      </c>
      <c r="B112" s="1" t="s">
        <v>10</v>
      </c>
      <c r="C112" s="4">
        <f>IF('Годовые данные'!$B$11="","",'Годовые данные'!$B$11*$I$4)</f>
        <v>495.6</v>
      </c>
      <c r="D112" s="5">
        <f>IF('Годовые данные'!$C$11="","",'Годовые данные'!$C$11*$I$4)</f>
        <v>91.7</v>
      </c>
      <c r="E112" s="4">
        <f>IF('Годовые данные'!$D$11="","",'Годовые данные'!$D$11*$J$4)</f>
        <v>2.97</v>
      </c>
      <c r="F112" s="6">
        <f>IF('Годовые данные'!$E$11="","",'Годовые данные'!$E$11*$J$4)</f>
        <v>0.63700000000000001</v>
      </c>
      <c r="G112" s="1"/>
      <c r="H112" s="1"/>
      <c r="I112" s="1"/>
      <c r="J112" s="1"/>
    </row>
    <row r="113" spans="1:10">
      <c r="A113" s="3">
        <v>2017</v>
      </c>
      <c r="B113" s="1" t="s">
        <v>11</v>
      </c>
      <c r="C113" s="4">
        <f>IF('Годовые данные'!$B$11="","",'Годовые данные'!$B$11*$I$5)</f>
        <v>991.2</v>
      </c>
      <c r="D113" s="5">
        <f>IF('Годовые данные'!$C$11="","",'Годовые данные'!$C$11*$I$5)</f>
        <v>183.4</v>
      </c>
      <c r="E113" s="4">
        <f>IF('Годовые данные'!$D$11="","",'Годовые данные'!$D$11*$J$5)</f>
        <v>2.97</v>
      </c>
      <c r="F113" s="6">
        <f>IF('Годовые данные'!$E$11="","",'Годовые данные'!$E$11*$J$5)</f>
        <v>0.63700000000000001</v>
      </c>
      <c r="G113" s="1"/>
      <c r="H113" s="1"/>
      <c r="I113" s="1"/>
      <c r="J113" s="1"/>
    </row>
    <row r="114" spans="1:10">
      <c r="A114" s="3">
        <v>2017</v>
      </c>
      <c r="B114" s="1" t="s">
        <v>12</v>
      </c>
      <c r="C114" s="4">
        <f>IF('Годовые данные'!$B$11="","",'Годовые данные'!$B$11*$I$6)</f>
        <v>2478</v>
      </c>
      <c r="D114" s="5">
        <f>IF('Годовые данные'!$C$11="","",'Годовые данные'!$C$11*$I$6)</f>
        <v>458.5</v>
      </c>
      <c r="E114" s="4">
        <f>IF('Годовые данные'!$D$11="","",'Годовые данные'!$D$11*$J$6)</f>
        <v>5.94</v>
      </c>
      <c r="F114" s="6">
        <f>IF('Годовые данные'!$E$11="","",'Годовые данные'!$E$11*$J$6)</f>
        <v>1.274</v>
      </c>
      <c r="G114" s="1"/>
      <c r="H114" s="1"/>
      <c r="I114" s="1"/>
      <c r="J114" s="1"/>
    </row>
    <row r="115" spans="1:10">
      <c r="A115" s="3">
        <v>2017</v>
      </c>
      <c r="B115" s="1" t="s">
        <v>13</v>
      </c>
      <c r="C115" s="4">
        <f>IF('Годовые данные'!$B$11="","",'Годовые данные'!$B$11*$I$7)</f>
        <v>4460.3999999999996</v>
      </c>
      <c r="D115" s="5">
        <f>IF('Годовые данные'!$C$11="","",'Годовые данные'!$C$11*$I$7)</f>
        <v>825.3</v>
      </c>
      <c r="E115" s="4">
        <f>IF('Годовые данные'!$D$11="","",'Годовые данные'!$D$11*$J$7)</f>
        <v>11.88</v>
      </c>
      <c r="F115" s="6">
        <f>IF('Годовые данные'!$E$11="","",'Годовые данные'!$E$11*$J$7)</f>
        <v>2.548</v>
      </c>
      <c r="G115" s="1"/>
      <c r="H115" s="1"/>
      <c r="I115" s="1"/>
      <c r="J115" s="1"/>
    </row>
    <row r="116" spans="1:10">
      <c r="A116" s="3">
        <v>2017</v>
      </c>
      <c r="B116" s="1" t="s">
        <v>14</v>
      </c>
      <c r="C116" s="4">
        <f>IF('Годовые данные'!$B$11="","",'Годовые данные'!$B$11*$I$8)</f>
        <v>5451.6</v>
      </c>
      <c r="D116" s="5">
        <f>IF('Годовые данные'!$C$11="","",'Годовые данные'!$C$11*$I$8)</f>
        <v>1008.7</v>
      </c>
      <c r="E116" s="4">
        <f>IF('Годовые данные'!$D$11="","",'Годовые данные'!$D$11*$J$8)</f>
        <v>35.64</v>
      </c>
      <c r="F116" s="6">
        <f>IF('Годовые данные'!$E$11="","",'Годовые данные'!$E$11*$J$8)</f>
        <v>7.6440000000000001</v>
      </c>
      <c r="G116" s="1"/>
      <c r="H116" s="1"/>
      <c r="I116" s="1"/>
      <c r="J116" s="1"/>
    </row>
    <row r="117" spans="1:10">
      <c r="A117" s="3">
        <v>2017</v>
      </c>
      <c r="B117" s="1" t="s">
        <v>15</v>
      </c>
      <c r="C117" s="4">
        <f>IF('Годовые данные'!$B$11="","",'Годовые данные'!$B$11*$I$9)</f>
        <v>4708.2</v>
      </c>
      <c r="D117" s="5">
        <f>IF('Годовые данные'!$C$11="","",'Годовые данные'!$C$11*$I$9)</f>
        <v>871.15</v>
      </c>
      <c r="E117" s="4">
        <f>IF('Годовые данные'!$D$11="","",'Годовые данные'!$D$11*$J$9)</f>
        <v>77.22</v>
      </c>
      <c r="F117" s="6">
        <f>IF('Годовые данные'!$E$11="","",'Годовые данные'!$E$11*$J$9)</f>
        <v>16.562000000000001</v>
      </c>
      <c r="G117" s="1"/>
      <c r="H117" s="1"/>
      <c r="I117" s="1"/>
      <c r="J117" s="1"/>
    </row>
    <row r="118" spans="1:10">
      <c r="A118" s="3">
        <v>2017</v>
      </c>
      <c r="B118" s="1" t="s">
        <v>16</v>
      </c>
      <c r="C118" s="4">
        <f>IF('Годовые данные'!$B$11="","",'Годовые данные'!$B$11*$I$10)</f>
        <v>3221.4</v>
      </c>
      <c r="D118" s="5">
        <f>IF('Годовые данные'!$C$11="","",'Годовые данные'!$C$11*$I$10)</f>
        <v>596.05000000000007</v>
      </c>
      <c r="E118" s="4">
        <f>IF('Годовые данные'!$D$11="","",'Годовые данные'!$D$11*$J$10)</f>
        <v>74.25</v>
      </c>
      <c r="F118" s="6">
        <f>IF('Годовые данные'!$E$11="","",'Годовые данные'!$E$11*$J$10)</f>
        <v>15.925000000000001</v>
      </c>
      <c r="G118" s="1"/>
      <c r="H118" s="1"/>
      <c r="I118" s="1"/>
      <c r="J118" s="1"/>
    </row>
    <row r="119" spans="1:10">
      <c r="A119" s="3">
        <v>2017</v>
      </c>
      <c r="B119" s="1" t="s">
        <v>17</v>
      </c>
      <c r="C119" s="4">
        <f>IF('Годовые данные'!$B$11="","",'Годовые данные'!$B$11*$I$11)</f>
        <v>1486.8</v>
      </c>
      <c r="D119" s="5">
        <f>IF('Годовые данные'!$C$11="","",'Годовые данные'!$C$11*$I$11)</f>
        <v>275.09999999999997</v>
      </c>
      <c r="E119" s="4">
        <f>IF('Годовые данные'!$D$11="","",'Годовые данные'!$D$11*$J$11)</f>
        <v>44.55</v>
      </c>
      <c r="F119" s="6">
        <f>IF('Годовые данные'!$E$11="","",'Годовые данные'!$E$11*$J$11)</f>
        <v>9.5549999999999997</v>
      </c>
      <c r="G119" s="1"/>
      <c r="H119" s="1"/>
      <c r="I119" s="1"/>
      <c r="J119" s="1"/>
    </row>
    <row r="120" spans="1:10">
      <c r="A120" s="3">
        <v>2017</v>
      </c>
      <c r="B120" s="1" t="s">
        <v>18</v>
      </c>
      <c r="C120" s="4">
        <f>IF('Годовые данные'!$B$11="","",'Годовые данные'!$B$11*$I$12)</f>
        <v>743.4</v>
      </c>
      <c r="D120" s="5">
        <f>IF('Годовые данные'!$C$11="","",'Годовые данные'!$C$11*$I$12)</f>
        <v>137.54999999999998</v>
      </c>
      <c r="E120" s="4">
        <f>IF('Годовые данные'!$D$11="","",'Годовые данные'!$D$11*$J$12)</f>
        <v>23.76</v>
      </c>
      <c r="F120" s="6">
        <f>IF('Годовые данные'!$E$11="","",'Годовые данные'!$E$11*$J$12)</f>
        <v>5.0960000000000001</v>
      </c>
      <c r="G120" s="1"/>
      <c r="H120" s="1"/>
      <c r="I120" s="1"/>
      <c r="J120" s="1"/>
    </row>
    <row r="121" spans="1:10">
      <c r="A121" s="3">
        <v>2017</v>
      </c>
      <c r="B121" s="1" t="s">
        <v>19</v>
      </c>
      <c r="C121" s="4">
        <f>IF('Годовые данные'!$B$11="","",'Годовые данные'!$B$11*$I$13)</f>
        <v>247.8</v>
      </c>
      <c r="D121" s="5">
        <f>IF('Годовые данные'!$C$11="","",'Годовые данные'!$C$11*$I$13)</f>
        <v>45.85</v>
      </c>
      <c r="E121" s="4">
        <f>IF('Годовые данные'!$D$11="","",'Годовые данные'!$D$11*$J$13)</f>
        <v>14.850000000000001</v>
      </c>
      <c r="F121" s="6">
        <f>IF('Годовые данные'!$E$11="","",'Годовые данные'!$E$11*$J$13)</f>
        <v>3.1850000000000005</v>
      </c>
      <c r="G121" s="1"/>
      <c r="H121" s="1"/>
      <c r="I121" s="1"/>
      <c r="J121" s="1"/>
    </row>
    <row r="122" spans="1:10">
      <c r="A122" s="3">
        <v>2018</v>
      </c>
      <c r="B122" s="1" t="s">
        <v>8</v>
      </c>
      <c r="C122" s="4">
        <f>IF('Годовые данные'!$B$12="","",'Годовые данные'!$B$12*$I$2)</f>
        <v>311.29000000000002</v>
      </c>
      <c r="D122" s="5">
        <f>IF('Годовые данные'!$C$12="","",'Годовые данные'!$C$12*$I$2)</f>
        <v>38.651000000000003</v>
      </c>
      <c r="E122" s="4">
        <f>IF('Годовые данные'!$D$12="","",'Годовые данные'!$D$12*$J$2)</f>
        <v>1.7</v>
      </c>
      <c r="F122" s="6">
        <f>IF('Годовые данные'!$E$12="","",'Годовые данные'!$E$12*$J$2)</f>
        <v>0.37700000000000006</v>
      </c>
      <c r="G122" s="1"/>
      <c r="H122" s="1"/>
      <c r="I122" s="1"/>
      <c r="J122" s="1"/>
    </row>
    <row r="123" spans="1:10">
      <c r="A123" s="3">
        <v>2018</v>
      </c>
      <c r="B123" s="1" t="s">
        <v>9</v>
      </c>
      <c r="C123" s="4">
        <f>IF('Годовые данные'!$B$12="","",'Годовые данные'!$B$12*$I$3)</f>
        <v>311.29000000000002</v>
      </c>
      <c r="D123" s="5">
        <f>IF('Годовые данные'!$C$12="","",'Годовые данные'!$C$12*$I$3)</f>
        <v>38.651000000000003</v>
      </c>
      <c r="E123" s="4">
        <f>IF('Годовые данные'!$D$12="","",'Годовые данные'!$D$12*$J$3)</f>
        <v>1.7</v>
      </c>
      <c r="F123" s="6">
        <f>IF('Годовые данные'!$E$12="","",'Годовые данные'!$E$12*$J$3)</f>
        <v>0.37700000000000006</v>
      </c>
      <c r="G123" s="1"/>
      <c r="H123" s="1"/>
      <c r="I123" s="1"/>
      <c r="J123" s="1"/>
    </row>
    <row r="124" spans="1:10">
      <c r="A124" s="3">
        <v>2018</v>
      </c>
      <c r="B124" s="1" t="s">
        <v>10</v>
      </c>
      <c r="C124" s="4">
        <f>IF('Годовые данные'!$B$12="","",'Годовые данные'!$B$12*$I$4)</f>
        <v>622.58000000000004</v>
      </c>
      <c r="D124" s="5">
        <f>IF('Годовые данные'!$C$12="","",'Годовые данные'!$C$12*$I$4)</f>
        <v>77.302000000000007</v>
      </c>
      <c r="E124" s="4">
        <f>IF('Годовые данные'!$D$12="","",'Годовые данные'!$D$12*$J$4)</f>
        <v>3.4</v>
      </c>
      <c r="F124" s="6">
        <f>IF('Годовые данные'!$E$12="","",'Годовые данные'!$E$12*$J$4)</f>
        <v>0.75400000000000011</v>
      </c>
      <c r="G124" s="1"/>
      <c r="H124" s="1"/>
      <c r="I124" s="1"/>
      <c r="J124" s="1"/>
    </row>
    <row r="125" spans="1:10">
      <c r="A125" s="3">
        <v>2018</v>
      </c>
      <c r="B125" s="1" t="s">
        <v>11</v>
      </c>
      <c r="C125" s="4">
        <f>IF('Годовые данные'!$B$12="","",'Годовые данные'!$B$12*$I$5)</f>
        <v>1245.1600000000001</v>
      </c>
      <c r="D125" s="5">
        <f>IF('Годовые данные'!$C$12="","",'Годовые данные'!$C$12*$I$5)</f>
        <v>154.60400000000001</v>
      </c>
      <c r="E125" s="4">
        <f>IF('Годовые данные'!$D$12="","",'Годовые данные'!$D$12*$J$5)</f>
        <v>3.4</v>
      </c>
      <c r="F125" s="6">
        <f>IF('Годовые данные'!$E$12="","",'Годовые данные'!$E$12*$J$5)</f>
        <v>0.75400000000000011</v>
      </c>
      <c r="G125" s="1"/>
      <c r="H125" s="1"/>
      <c r="I125" s="1"/>
      <c r="J125" s="1"/>
    </row>
    <row r="126" spans="1:10">
      <c r="A126" s="3">
        <v>2018</v>
      </c>
      <c r="B126" s="1" t="s">
        <v>12</v>
      </c>
      <c r="C126" s="4">
        <f>IF('Годовые данные'!$B$12="","",'Годовые данные'!$B$12*$I$6)</f>
        <v>3112.9</v>
      </c>
      <c r="D126" s="5">
        <f>IF('Годовые данные'!$C$12="","",'Годовые данные'!$C$12*$I$6)</f>
        <v>386.51</v>
      </c>
      <c r="E126" s="4">
        <f>IF('Годовые данные'!$D$12="","",'Годовые данные'!$D$12*$J$6)</f>
        <v>6.8</v>
      </c>
      <c r="F126" s="6">
        <f>IF('Годовые данные'!$E$12="","",'Годовые данные'!$E$12*$J$6)</f>
        <v>1.5080000000000002</v>
      </c>
      <c r="G126" s="1"/>
      <c r="H126" s="1"/>
      <c r="I126" s="1"/>
      <c r="J126" s="1"/>
    </row>
    <row r="127" spans="1:10">
      <c r="A127" s="3">
        <v>2018</v>
      </c>
      <c r="B127" s="1" t="s">
        <v>13</v>
      </c>
      <c r="C127" s="4">
        <f>IF('Годовые данные'!$B$12="","",'Годовые данные'!$B$12*$I$7)</f>
        <v>5603.2199999999993</v>
      </c>
      <c r="D127" s="5">
        <f>IF('Годовые данные'!$C$12="","",'Годовые данные'!$C$12*$I$7)</f>
        <v>695.71799999999996</v>
      </c>
      <c r="E127" s="4">
        <f>IF('Годовые данные'!$D$12="","",'Годовые данные'!$D$12*$J$7)</f>
        <v>13.6</v>
      </c>
      <c r="F127" s="6">
        <f>IF('Годовые данные'!$E$12="","",'Годовые данные'!$E$12*$J$7)</f>
        <v>3.0160000000000005</v>
      </c>
      <c r="G127" s="1"/>
      <c r="H127" s="1"/>
      <c r="I127" s="1"/>
      <c r="J127" s="1"/>
    </row>
    <row r="128" spans="1:10">
      <c r="A128" s="3">
        <v>2018</v>
      </c>
      <c r="B128" s="1" t="s">
        <v>14</v>
      </c>
      <c r="C128" s="4">
        <f>IF('Годовые данные'!$B$12="","",'Годовые данные'!$B$12*$I$8)</f>
        <v>6848.38</v>
      </c>
      <c r="D128" s="5">
        <f>IF('Годовые данные'!$C$12="","",'Годовые данные'!$C$12*$I$8)</f>
        <v>850.322</v>
      </c>
      <c r="E128" s="4">
        <f>IF('Годовые данные'!$D$12="","",'Годовые данные'!$D$12*$J$8)</f>
        <v>40.799999999999997</v>
      </c>
      <c r="F128" s="6">
        <f>IF('Годовые данные'!$E$12="","",'Годовые данные'!$E$12*$J$8)</f>
        <v>9.048</v>
      </c>
      <c r="G128" s="1"/>
      <c r="H128" s="1"/>
      <c r="I128" s="1"/>
      <c r="J128" s="1"/>
    </row>
    <row r="129" spans="1:10">
      <c r="A129" s="3">
        <v>2018</v>
      </c>
      <c r="B129" s="1" t="s">
        <v>15</v>
      </c>
      <c r="C129" s="4">
        <f>IF('Годовые данные'!$B$12="","",'Годовые данные'!$B$12*$I$9)</f>
        <v>5914.51</v>
      </c>
      <c r="D129" s="5">
        <f>IF('Годовые данные'!$C$12="","",'Годовые данные'!$C$12*$I$9)</f>
        <v>734.36900000000003</v>
      </c>
      <c r="E129" s="4">
        <f>IF('Годовые данные'!$D$12="","",'Годовые данные'!$D$12*$J$9)</f>
        <v>88.4</v>
      </c>
      <c r="F129" s="6">
        <f>IF('Годовые данные'!$E$12="","",'Годовые данные'!$E$12*$J$9)</f>
        <v>19.604000000000003</v>
      </c>
      <c r="G129" s="1"/>
      <c r="H129" s="1"/>
      <c r="I129" s="1"/>
      <c r="J129" s="1"/>
    </row>
    <row r="130" spans="1:10">
      <c r="A130" s="3">
        <v>2018</v>
      </c>
      <c r="B130" s="1" t="s">
        <v>16</v>
      </c>
      <c r="C130" s="4">
        <f>IF('Годовые данные'!$B$12="","",'Годовые данные'!$B$12*$I$10)</f>
        <v>4046.77</v>
      </c>
      <c r="D130" s="5">
        <f>IF('Годовые данные'!$C$12="","",'Годовые данные'!$C$12*$I$10)</f>
        <v>502.46300000000002</v>
      </c>
      <c r="E130" s="4">
        <f>IF('Годовые данные'!$D$12="","",'Годовые данные'!$D$12*$J$10)</f>
        <v>85</v>
      </c>
      <c r="F130" s="6">
        <f>IF('Годовые данные'!$E$12="","",'Годовые данные'!$E$12*$J$10)</f>
        <v>18.850000000000001</v>
      </c>
      <c r="G130" s="1"/>
      <c r="H130" s="1"/>
      <c r="I130" s="1"/>
      <c r="J130" s="1"/>
    </row>
    <row r="131" spans="1:10">
      <c r="A131" s="3">
        <v>2018</v>
      </c>
      <c r="B131" s="1" t="s">
        <v>17</v>
      </c>
      <c r="C131" s="4">
        <f>IF('Годовые данные'!$B$12="","",'Годовые данные'!$B$12*$I$11)</f>
        <v>1867.74</v>
      </c>
      <c r="D131" s="5">
        <f>IF('Годовые данные'!$C$12="","",'Годовые данные'!$C$12*$I$11)</f>
        <v>231.90599999999998</v>
      </c>
      <c r="E131" s="4">
        <f>IF('Годовые данные'!$D$12="","",'Годовые данные'!$D$12*$J$11)</f>
        <v>51</v>
      </c>
      <c r="F131" s="6">
        <f>IF('Годовые данные'!$E$12="","",'Годовые данные'!$E$12*$J$11)</f>
        <v>11.31</v>
      </c>
      <c r="G131" s="1"/>
      <c r="H131" s="1"/>
      <c r="I131" s="1"/>
      <c r="J131" s="1"/>
    </row>
    <row r="132" spans="1:10">
      <c r="A132" s="3">
        <v>2018</v>
      </c>
      <c r="B132" s="1" t="s">
        <v>18</v>
      </c>
      <c r="C132" s="4">
        <f>IF('Годовые данные'!$B$12="","",'Годовые данные'!$B$12*$I$12)</f>
        <v>933.87</v>
      </c>
      <c r="D132" s="5">
        <f>IF('Годовые данные'!$C$12="","",'Годовые данные'!$C$12*$I$12)</f>
        <v>115.95299999999999</v>
      </c>
      <c r="E132" s="4">
        <f>IF('Годовые данные'!$D$12="","",'Годовые данные'!$D$12*$J$12)</f>
        <v>27.2</v>
      </c>
      <c r="F132" s="6">
        <f>IF('Годовые данные'!$E$12="","",'Годовые данные'!$E$12*$J$12)</f>
        <v>6.0320000000000009</v>
      </c>
      <c r="G132" s="1"/>
      <c r="H132" s="1"/>
      <c r="I132" s="1"/>
      <c r="J132" s="1"/>
    </row>
    <row r="133" spans="1:10">
      <c r="A133" s="3">
        <v>2018</v>
      </c>
      <c r="B133" s="1" t="s">
        <v>19</v>
      </c>
      <c r="C133" s="4">
        <f>IF('Годовые данные'!$B$12="","",'Годовые данные'!$B$12*$I$13)</f>
        <v>311.29000000000002</v>
      </c>
      <c r="D133" s="5">
        <f>IF('Годовые данные'!$C$12="","",'Годовые данные'!$C$12*$I$13)</f>
        <v>38.651000000000003</v>
      </c>
      <c r="E133" s="4">
        <f>IF('Годовые данные'!$D$12="","",'Годовые данные'!$D$12*$J$13)</f>
        <v>17</v>
      </c>
      <c r="F133" s="6">
        <f>IF('Годовые данные'!$E$12="","",'Годовые данные'!$E$12*$J$13)</f>
        <v>3.7700000000000005</v>
      </c>
      <c r="G133" s="1"/>
      <c r="H133" s="1"/>
      <c r="I133" s="1"/>
      <c r="J133" s="1"/>
    </row>
    <row r="134" spans="1:10">
      <c r="A134" s="3">
        <v>2019</v>
      </c>
      <c r="B134" s="1" t="s">
        <v>8</v>
      </c>
      <c r="C134" s="4">
        <f>IF('Годовые данные'!$B$13="","",'Годовые данные'!$B$13*$I$2)</f>
        <v>295.33</v>
      </c>
      <c r="D134" s="5">
        <f>IF('Годовые данные'!$C$13="","",'Годовые данные'!$C$13*$I$2)</f>
        <v>42.792999999999999</v>
      </c>
      <c r="E134" s="4">
        <f>IF('Годовые данные'!$D$13="","",'Годовые данные'!$D$13*$J$2)</f>
        <v>0.29749999999999999</v>
      </c>
      <c r="F134" s="6">
        <f>IF('Годовые данные'!$E$13="","",'Годовые данные'!$E$13*$J$2)</f>
        <v>9.2499999999999999E-2</v>
      </c>
      <c r="G134" s="1"/>
      <c r="H134" s="1"/>
      <c r="I134" s="1"/>
      <c r="J134" s="1"/>
    </row>
    <row r="135" spans="1:10">
      <c r="A135" s="3">
        <v>2019</v>
      </c>
      <c r="B135" s="1" t="s">
        <v>9</v>
      </c>
      <c r="C135" s="4">
        <f>IF('Годовые данные'!$B$13="","",'Годовые данные'!$B$13*$I$3)</f>
        <v>295.33</v>
      </c>
      <c r="D135" s="5">
        <f>IF('Годовые данные'!$C$13="","",'Годовые данные'!$C$13*$I$3)</f>
        <v>42.792999999999999</v>
      </c>
      <c r="E135" s="4">
        <f>IF('Годовые данные'!$D$13="","",'Годовые данные'!$D$13*$J$3)</f>
        <v>0.29749999999999999</v>
      </c>
      <c r="F135" s="6">
        <f>IF('Годовые данные'!$E$13="","",'Годовые данные'!$E$13*$J$3)</f>
        <v>9.2499999999999999E-2</v>
      </c>
      <c r="G135" s="1"/>
      <c r="H135" s="1"/>
      <c r="I135" s="1"/>
      <c r="J135" s="1"/>
    </row>
    <row r="136" spans="1:10">
      <c r="A136" s="3">
        <v>2019</v>
      </c>
      <c r="B136" s="1" t="s">
        <v>10</v>
      </c>
      <c r="C136" s="4">
        <f>IF('Годовые данные'!$B$13="","",'Годовые данные'!$B$13*$I$4)</f>
        <v>590.66</v>
      </c>
      <c r="D136" s="5">
        <f>IF('Годовые данные'!$C$13="","",'Годовые данные'!$C$13*$I$4)</f>
        <v>85.585999999999999</v>
      </c>
      <c r="E136" s="4">
        <f>IF('Годовые данные'!$D$13="","",'Годовые данные'!$D$13*$J$4)</f>
        <v>0.59499999999999997</v>
      </c>
      <c r="F136" s="6">
        <f>IF('Годовые данные'!$E$13="","",'Годовые данные'!$E$13*$J$4)</f>
        <v>0.185</v>
      </c>
      <c r="G136" s="1"/>
      <c r="H136" s="1"/>
      <c r="I136" s="1"/>
      <c r="J136" s="1"/>
    </row>
    <row r="137" spans="1:10">
      <c r="A137" s="3">
        <v>2019</v>
      </c>
      <c r="B137" s="1" t="s">
        <v>11</v>
      </c>
      <c r="C137" s="4">
        <f>IF('Годовые данные'!$B$13="","",'Годовые данные'!$B$13*$I$5)</f>
        <v>1181.32</v>
      </c>
      <c r="D137" s="5">
        <f>IF('Годовые данные'!$C$13="","",'Годовые данные'!$C$13*$I$5)</f>
        <v>171.172</v>
      </c>
      <c r="E137" s="4">
        <f>IF('Годовые данные'!$D$13="","",'Годовые данные'!$D$13*$J$5)</f>
        <v>0.59499999999999997</v>
      </c>
      <c r="F137" s="6">
        <f>IF('Годовые данные'!$E$13="","",'Годовые данные'!$E$13*$J$5)</f>
        <v>0.185</v>
      </c>
      <c r="G137" s="1"/>
      <c r="H137" s="1"/>
      <c r="I137" s="1"/>
      <c r="J137" s="1"/>
    </row>
    <row r="138" spans="1:10">
      <c r="A138" s="3">
        <v>2019</v>
      </c>
      <c r="B138" s="1" t="s">
        <v>12</v>
      </c>
      <c r="C138" s="4">
        <f>IF('Годовые данные'!$B$13="","",'Годовые данные'!$B$13*$I$6)</f>
        <v>2953.3</v>
      </c>
      <c r="D138" s="5">
        <f>IF('Годовые данные'!$C$13="","",'Годовые данные'!$C$13*$I$6)</f>
        <v>427.93000000000006</v>
      </c>
      <c r="E138" s="4">
        <f>IF('Годовые данные'!$D$13="","",'Годовые данные'!$D$13*$J$6)</f>
        <v>1.19</v>
      </c>
      <c r="F138" s="6">
        <f>IF('Годовые данные'!$E$13="","",'Годовые данные'!$E$13*$J$6)</f>
        <v>0.37</v>
      </c>
      <c r="G138" s="1"/>
      <c r="H138" s="1"/>
      <c r="I138" s="1"/>
      <c r="J138" s="1"/>
    </row>
    <row r="139" spans="1:10">
      <c r="A139" s="3">
        <v>2019</v>
      </c>
      <c r="B139" s="1" t="s">
        <v>13</v>
      </c>
      <c r="C139" s="4">
        <f>IF('Годовые данные'!$B$13="","",'Годовые данные'!$B$13*$I$7)</f>
        <v>5315.94</v>
      </c>
      <c r="D139" s="5">
        <f>IF('Годовые данные'!$C$13="","",'Годовые данные'!$C$13*$I$7)</f>
        <v>770.274</v>
      </c>
      <c r="E139" s="4">
        <f>IF('Годовые данные'!$D$13="","",'Годовые данные'!$D$13*$J$7)</f>
        <v>2.38</v>
      </c>
      <c r="F139" s="6">
        <f>IF('Годовые данные'!$E$13="","",'Годовые данные'!$E$13*$J$7)</f>
        <v>0.74</v>
      </c>
      <c r="G139" s="1"/>
      <c r="H139" s="1"/>
      <c r="I139" s="1"/>
      <c r="J139" s="1"/>
    </row>
    <row r="140" spans="1:10">
      <c r="A140" s="3">
        <v>2019</v>
      </c>
      <c r="B140" s="1" t="s">
        <v>14</v>
      </c>
      <c r="C140" s="4">
        <f>IF('Годовые данные'!$B$13="","",'Годовые данные'!$B$13*$I$8)</f>
        <v>6497.26</v>
      </c>
      <c r="D140" s="5">
        <f>IF('Годовые данные'!$C$13="","",'Годовые данные'!$C$13*$I$8)</f>
        <v>941.44600000000003</v>
      </c>
      <c r="E140" s="4">
        <f>IF('Годовые данные'!$D$13="","",'Годовые данные'!$D$13*$J$8)</f>
        <v>7.14</v>
      </c>
      <c r="F140" s="6">
        <f>IF('Годовые данные'!$E$13="","",'Годовые данные'!$E$13*$J$8)</f>
        <v>2.2199999999999998</v>
      </c>
      <c r="G140" s="1"/>
      <c r="H140" s="1"/>
      <c r="I140" s="1"/>
      <c r="J140" s="1"/>
    </row>
    <row r="141" spans="1:10">
      <c r="A141" s="3">
        <v>2019</v>
      </c>
      <c r="B141" s="1" t="s">
        <v>15</v>
      </c>
      <c r="C141" s="4">
        <f>IF('Годовые данные'!$B$13="","",'Годовые данные'!$B$13*$I$9)</f>
        <v>5611.27</v>
      </c>
      <c r="D141" s="5">
        <f>IF('Годовые данные'!$C$13="","",'Годовые данные'!$C$13*$I$9)</f>
        <v>813.06700000000001</v>
      </c>
      <c r="E141" s="4">
        <f>IF('Годовые данные'!$D$13="","",'Годовые данные'!$D$13*$J$9)</f>
        <v>15.47</v>
      </c>
      <c r="F141" s="6">
        <f>IF('Годовые данные'!$E$13="","",'Годовые данные'!$E$13*$J$9)</f>
        <v>4.8100000000000005</v>
      </c>
      <c r="G141" s="1"/>
      <c r="H141" s="1"/>
      <c r="I141" s="1"/>
      <c r="J141" s="1"/>
    </row>
    <row r="142" spans="1:10">
      <c r="A142" s="3">
        <v>2019</v>
      </c>
      <c r="B142" s="1" t="s">
        <v>16</v>
      </c>
      <c r="C142" s="4">
        <f>IF('Годовые данные'!$B$13="","",'Годовые данные'!$B$13*$I$10)</f>
        <v>3839.29</v>
      </c>
      <c r="D142" s="5">
        <f>IF('Годовые данные'!$C$13="","",'Годовые данные'!$C$13*$I$10)</f>
        <v>556.30900000000008</v>
      </c>
      <c r="E142" s="4">
        <f>IF('Годовые данные'!$D$13="","",'Годовые данные'!$D$13*$J$10)</f>
        <v>14.875</v>
      </c>
      <c r="F142" s="6">
        <f>IF('Годовые данные'!$E$13="","",'Годовые данные'!$E$13*$J$10)</f>
        <v>4.625</v>
      </c>
      <c r="G142" s="1"/>
      <c r="H142" s="1"/>
      <c r="I142" s="1"/>
      <c r="J142" s="1"/>
    </row>
    <row r="143" spans="1:10">
      <c r="A143" s="3">
        <v>2019</v>
      </c>
      <c r="B143" s="1" t="s">
        <v>17</v>
      </c>
      <c r="C143" s="4">
        <f>IF('Годовые данные'!$B$13="","",'Годовые данные'!$B$13*$I$11)</f>
        <v>1771.98</v>
      </c>
      <c r="D143" s="5">
        <f>IF('Годовые данные'!$C$13="","",'Годовые данные'!$C$13*$I$11)</f>
        <v>256.75799999999998</v>
      </c>
      <c r="E143" s="4">
        <f>IF('Годовые данные'!$D$13="","",'Годовые данные'!$D$13*$J$11)</f>
        <v>8.9249999999999989</v>
      </c>
      <c r="F143" s="6">
        <f>IF('Годовые данные'!$E$13="","",'Годовые данные'!$E$13*$J$11)</f>
        <v>2.7749999999999999</v>
      </c>
      <c r="G143" s="1"/>
      <c r="H143" s="1"/>
      <c r="I143" s="1"/>
      <c r="J143" s="1"/>
    </row>
    <row r="144" spans="1:10">
      <c r="A144" s="3">
        <v>2019</v>
      </c>
      <c r="B144" s="1" t="s">
        <v>18</v>
      </c>
      <c r="C144" s="4">
        <f>IF('Годовые данные'!$B$13="","",'Годовые данные'!$B$13*$I$12)</f>
        <v>885.99</v>
      </c>
      <c r="D144" s="5">
        <f>IF('Годовые данные'!$C$13="","",'Годовые данные'!$C$13*$I$12)</f>
        <v>128.37899999999999</v>
      </c>
      <c r="E144" s="4">
        <f>IF('Годовые данные'!$D$13="","",'Годовые данные'!$D$13*$J$12)</f>
        <v>4.76</v>
      </c>
      <c r="F144" s="6">
        <f>IF('Годовые данные'!$E$13="","",'Годовые данные'!$E$13*$J$12)</f>
        <v>1.48</v>
      </c>
      <c r="G144" s="1"/>
      <c r="H144" s="1"/>
      <c r="I144" s="1"/>
      <c r="J144" s="1"/>
    </row>
    <row r="145" spans="1:10">
      <c r="A145" s="3">
        <v>2019</v>
      </c>
      <c r="B145" s="1" t="s">
        <v>19</v>
      </c>
      <c r="C145" s="4">
        <f>IF('Годовые данные'!$B$13="","",'Годовые данные'!$B$13*$I$13)</f>
        <v>295.33</v>
      </c>
      <c r="D145" s="5">
        <f>IF('Годовые данные'!$C$13="","",'Годовые данные'!$C$13*$I$13)</f>
        <v>42.792999999999999</v>
      </c>
      <c r="E145" s="4">
        <f>IF('Годовые данные'!$D$13="","",'Годовые данные'!$D$13*$J$13)</f>
        <v>2.9750000000000001</v>
      </c>
      <c r="F145" s="6">
        <f>IF('Годовые данные'!$E$13="","",'Годовые данные'!$E$13*$J$13)</f>
        <v>0.92500000000000004</v>
      </c>
      <c r="G145" s="1"/>
      <c r="H145" s="1"/>
      <c r="I145" s="1"/>
      <c r="J145" s="1"/>
    </row>
    <row r="146" spans="1:10">
      <c r="A146" s="3">
        <v>2020</v>
      </c>
      <c r="B146" s="1" t="s">
        <v>8</v>
      </c>
      <c r="C146" s="4">
        <f>IF('Годовые данные'!$B$14="","",'Годовые данные'!$B$14*$I$2)</f>
        <v>217.59</v>
      </c>
      <c r="D146" s="5">
        <f>IF('Годовые данные'!$C$14="","",'Годовые данные'!$C$14*$I$2)</f>
        <v>51.573</v>
      </c>
      <c r="E146" s="4">
        <f>IF('Годовые данные'!$D$14="","",'Годовые данные'!$D$14*$J$2)</f>
        <v>7.659500000000001E-2</v>
      </c>
      <c r="F146" s="6">
        <f>IF('Годовые данные'!$E$14="","",'Годовые данные'!$E$14*$J$2)</f>
        <v>2.9500000000000002E-2</v>
      </c>
      <c r="G146" s="1"/>
      <c r="H146" s="1"/>
      <c r="I146" s="1"/>
      <c r="J146" s="1"/>
    </row>
    <row r="147" spans="1:10">
      <c r="A147" s="3">
        <v>2020</v>
      </c>
      <c r="B147" s="1" t="s">
        <v>9</v>
      </c>
      <c r="C147" s="4">
        <f>IF('Годовые данные'!$B$14="","",'Годовые данные'!$B$14*$I$3)</f>
        <v>217.59</v>
      </c>
      <c r="D147" s="5">
        <f>IF('Годовые данные'!$C$14="","",'Годовые данные'!$C$14*$I$3)</f>
        <v>51.573</v>
      </c>
      <c r="E147" s="4">
        <f>IF('Годовые данные'!$D$14="","",'Годовые данные'!$D$14*$J$3)</f>
        <v>7.659500000000001E-2</v>
      </c>
      <c r="F147" s="6">
        <f>IF('Годовые данные'!$E$14="","",'Годовые данные'!$E$14*$J$3)</f>
        <v>2.9500000000000002E-2</v>
      </c>
      <c r="G147" s="1"/>
      <c r="H147" s="1"/>
      <c r="I147" s="1"/>
      <c r="J147" s="1"/>
    </row>
    <row r="148" spans="1:10">
      <c r="A148" s="3">
        <v>2020</v>
      </c>
      <c r="B148" s="1" t="s">
        <v>10</v>
      </c>
      <c r="C148" s="4">
        <f>IF('Годовые данные'!$B$14="","",'Годовые данные'!$B$14*$I$4)</f>
        <v>435.18</v>
      </c>
      <c r="D148" s="5">
        <f>IF('Годовые данные'!$C$14="","",'Годовые данные'!$C$14*$I$4)</f>
        <v>103.146</v>
      </c>
      <c r="E148" s="4">
        <f>IF('Годовые данные'!$D$14="","",'Годовые данные'!$D$14*$J$4)</f>
        <v>0.15319000000000002</v>
      </c>
      <c r="F148" s="6">
        <f>IF('Годовые данные'!$E$14="","",'Годовые данные'!$E$14*$J$4)</f>
        <v>5.9000000000000004E-2</v>
      </c>
      <c r="G148" s="1"/>
      <c r="H148" s="1"/>
      <c r="I148" s="1"/>
      <c r="J148" s="1"/>
    </row>
    <row r="149" spans="1:10">
      <c r="A149" s="3">
        <v>2020</v>
      </c>
      <c r="B149" s="1" t="s">
        <v>11</v>
      </c>
      <c r="C149" s="4">
        <f>IF('Годовые данные'!$B$14="","",'Годовые данные'!$B$14*$I$5)</f>
        <v>870.36</v>
      </c>
      <c r="D149" s="5">
        <f>IF('Годовые данные'!$C$14="","",'Годовые данные'!$C$14*$I$5)</f>
        <v>206.292</v>
      </c>
      <c r="E149" s="4">
        <f>IF('Годовые данные'!$D$14="","",'Годовые данные'!$D$14*$J$5)</f>
        <v>0.15319000000000002</v>
      </c>
      <c r="F149" s="6">
        <f>IF('Годовые данные'!$E$14="","",'Годовые данные'!$E$14*$J$5)</f>
        <v>5.9000000000000004E-2</v>
      </c>
      <c r="G149" s="1"/>
      <c r="H149" s="1"/>
      <c r="I149" s="1"/>
      <c r="J149" s="1"/>
    </row>
    <row r="150" spans="1:10">
      <c r="A150" s="3">
        <v>2020</v>
      </c>
      <c r="B150" s="1" t="s">
        <v>12</v>
      </c>
      <c r="C150" s="4">
        <f>IF('Годовые данные'!$B$14="","",'Годовые данные'!$B$14*$I$6)</f>
        <v>2175.9</v>
      </c>
      <c r="D150" s="5">
        <f>IF('Годовые данные'!$C$14="","",'Годовые данные'!$C$14*$I$6)</f>
        <v>515.73</v>
      </c>
      <c r="E150" s="4">
        <f>IF('Годовые данные'!$D$14="","",'Годовые данные'!$D$14*$J$6)</f>
        <v>0.30638000000000004</v>
      </c>
      <c r="F150" s="6">
        <f>IF('Годовые данные'!$E$14="","",'Годовые данные'!$E$14*$J$6)</f>
        <v>0.11800000000000001</v>
      </c>
      <c r="G150" s="1"/>
      <c r="H150" s="1"/>
      <c r="I150" s="1"/>
      <c r="J150" s="1"/>
    </row>
    <row r="151" spans="1:10">
      <c r="A151" s="3">
        <v>2020</v>
      </c>
      <c r="B151" s="1" t="s">
        <v>13</v>
      </c>
      <c r="C151" s="4">
        <f>IF('Годовые данные'!$B$14="","",'Годовые данные'!$B$14*$I$7)</f>
        <v>3916.62</v>
      </c>
      <c r="D151" s="5">
        <f>IF('Годовые данные'!$C$14="","",'Годовые данные'!$C$14*$I$7)</f>
        <v>928.31399999999996</v>
      </c>
      <c r="E151" s="4">
        <f>IF('Годовые данные'!$D$14="","",'Годовые данные'!$D$14*$J$7)</f>
        <v>0.61276000000000008</v>
      </c>
      <c r="F151" s="6">
        <f>IF('Годовые данные'!$E$14="","",'Годовые данные'!$E$14*$J$7)</f>
        <v>0.23600000000000002</v>
      </c>
      <c r="G151" s="1"/>
      <c r="H151" s="1"/>
      <c r="I151" s="1"/>
      <c r="J151" s="1"/>
    </row>
    <row r="152" spans="1:10">
      <c r="A152" s="3">
        <v>2020</v>
      </c>
      <c r="B152" s="1" t="s">
        <v>14</v>
      </c>
      <c r="C152" s="4">
        <f>IF('Годовые данные'!$B$14="","",'Годовые данные'!$B$14*$I$8)</f>
        <v>4786.9800000000005</v>
      </c>
      <c r="D152" s="5">
        <f>IF('Годовые данные'!$C$14="","",'Годовые данные'!$C$14*$I$8)</f>
        <v>1134.606</v>
      </c>
      <c r="E152" s="4">
        <f>IF('Годовые данные'!$D$14="","",'Годовые данные'!$D$14*$J$8)</f>
        <v>1.8382800000000001</v>
      </c>
      <c r="F152" s="6">
        <f>IF('Годовые данные'!$E$14="","",'Годовые данные'!$E$14*$J$8)</f>
        <v>0.70799999999999996</v>
      </c>
      <c r="G152" s="1"/>
      <c r="H152" s="1"/>
      <c r="I152" s="1"/>
      <c r="J152" s="1"/>
    </row>
    <row r="153" spans="1:10">
      <c r="A153" s="3">
        <v>2020</v>
      </c>
      <c r="B153" s="1" t="s">
        <v>15</v>
      </c>
      <c r="C153" s="4">
        <f>IF('Годовые данные'!$B$14="","",'Годовые данные'!$B$14*$I$9)</f>
        <v>4134.21</v>
      </c>
      <c r="D153" s="5">
        <f>IF('Годовые данные'!$C$14="","",'Годовые данные'!$C$14*$I$9)</f>
        <v>979.88700000000006</v>
      </c>
      <c r="E153" s="4">
        <f>IF('Годовые данные'!$D$14="","",'Годовые данные'!$D$14*$J$9)</f>
        <v>3.9829400000000001</v>
      </c>
      <c r="F153" s="6">
        <f>IF('Годовые данные'!$E$14="","",'Годовые данные'!$E$14*$J$9)</f>
        <v>1.5340000000000003</v>
      </c>
      <c r="G153" s="1"/>
      <c r="H153" s="1"/>
      <c r="I153" s="1"/>
      <c r="J153" s="1"/>
    </row>
    <row r="154" spans="1:10">
      <c r="A154" s="3">
        <v>2020</v>
      </c>
      <c r="B154" s="1" t="s">
        <v>16</v>
      </c>
      <c r="C154" s="4">
        <f>IF('Годовые данные'!$B$14="","",'Годовые данные'!$B$14*$I$10)</f>
        <v>2828.67</v>
      </c>
      <c r="D154" s="5">
        <f>IF('Годовые данные'!$C$14="","",'Годовые данные'!$C$14*$I$10)</f>
        <v>670.44900000000007</v>
      </c>
      <c r="E154" s="4">
        <f>IF('Годовые данные'!$D$14="","",'Годовые данные'!$D$14*$J$10)</f>
        <v>3.8297500000000002</v>
      </c>
      <c r="F154" s="6">
        <f>IF('Годовые данные'!$E$14="","",'Годовые данные'!$E$14*$J$10)</f>
        <v>1.4750000000000001</v>
      </c>
      <c r="G154" s="1"/>
      <c r="H154" s="1"/>
      <c r="I154" s="1"/>
      <c r="J154" s="1"/>
    </row>
    <row r="155" spans="1:10">
      <c r="A155" s="3">
        <v>2020</v>
      </c>
      <c r="B155" s="1" t="s">
        <v>17</v>
      </c>
      <c r="C155" s="4">
        <f>IF('Годовые данные'!$B$14="","",'Годовые данные'!$B$14*$I$11)</f>
        <v>1305.54</v>
      </c>
      <c r="D155" s="5">
        <f>IF('Годовые данные'!$C$14="","",'Годовые данные'!$C$14*$I$11)</f>
        <v>309.43799999999999</v>
      </c>
      <c r="E155" s="4">
        <f>IF('Годовые данные'!$D$14="","",'Годовые данные'!$D$14*$J$11)</f>
        <v>2.2978499999999999</v>
      </c>
      <c r="F155" s="6">
        <f>IF('Годовые данные'!$E$14="","",'Годовые данные'!$E$14*$J$11)</f>
        <v>0.88500000000000001</v>
      </c>
      <c r="G155" s="1"/>
      <c r="H155" s="1"/>
      <c r="I155" s="1"/>
      <c r="J155" s="1"/>
    </row>
    <row r="156" spans="1:10">
      <c r="A156" s="3">
        <v>2020</v>
      </c>
      <c r="B156" s="1" t="s">
        <v>18</v>
      </c>
      <c r="C156" s="4">
        <f>IF('Годовые данные'!$B$14="","",'Годовые данные'!$B$14*$I$12)</f>
        <v>652.77</v>
      </c>
      <c r="D156" s="5">
        <f>IF('Годовые данные'!$C$14="","",'Годовые данные'!$C$14*$I$12)</f>
        <v>154.71899999999999</v>
      </c>
      <c r="E156" s="4">
        <f>IF('Годовые данные'!$D$14="","",'Годовые данные'!$D$14*$J$12)</f>
        <v>1.2255200000000002</v>
      </c>
      <c r="F156" s="6">
        <f>IF('Годовые данные'!$E$14="","",'Годовые данные'!$E$14*$J$12)</f>
        <v>0.47200000000000003</v>
      </c>
      <c r="G156" s="1"/>
      <c r="H156" s="1"/>
      <c r="I156" s="1"/>
      <c r="J156" s="1"/>
    </row>
    <row r="157" spans="1:10">
      <c r="A157" s="3">
        <v>2020</v>
      </c>
      <c r="B157" s="1" t="s">
        <v>19</v>
      </c>
      <c r="C157" s="4">
        <f>IF('Годовые данные'!$B$14="","",'Годовые данные'!$B$14*$I$13)</f>
        <v>217.59</v>
      </c>
      <c r="D157" s="5">
        <f>IF('Годовые данные'!$C$14="","",'Годовые данные'!$C$14*$I$13)</f>
        <v>51.573</v>
      </c>
      <c r="E157" s="4">
        <f>IF('Годовые данные'!$D$14="","",'Годовые данные'!$D$14*$J$13)</f>
        <v>0.76595000000000013</v>
      </c>
      <c r="F157" s="6">
        <f>IF('Годовые данные'!$E$14="","",'Годовые данные'!$E$14*$J$13)</f>
        <v>0.29500000000000004</v>
      </c>
      <c r="G157" s="1"/>
      <c r="H157" s="1"/>
      <c r="I157" s="1"/>
      <c r="J157" s="1"/>
    </row>
    <row r="158" spans="1:10">
      <c r="A158" s="3">
        <v>2021</v>
      </c>
      <c r="B158" s="1" t="s">
        <v>8</v>
      </c>
      <c r="C158" s="4">
        <f>IF('Годовые данные'!$B$15="","",'Годовые данные'!$B$15*$I$2)</f>
        <v>250.61</v>
      </c>
      <c r="D158" s="5">
        <f>IF('Годовые данные'!$C$15="","",'Годовые данные'!$C$15*$I$2)</f>
        <v>69.36</v>
      </c>
      <c r="E158" s="4">
        <f>IF('Годовые данные'!$D$15="","",'Годовые данные'!$D$15*$J$2)</f>
        <v>6.7494999999999999E-2</v>
      </c>
      <c r="F158" s="6">
        <f>IF('Годовые данные'!$E$15="","",'Годовые данные'!$E$15*$J$2)</f>
        <v>2.6499999999999999E-2</v>
      </c>
      <c r="G158" s="1"/>
      <c r="H158" s="1"/>
      <c r="I158" s="1"/>
      <c r="J158" s="1"/>
    </row>
    <row r="159" spans="1:10">
      <c r="A159" s="3">
        <v>2021</v>
      </c>
      <c r="B159" s="1" t="s">
        <v>9</v>
      </c>
      <c r="C159" s="4">
        <f>IF('Годовые данные'!$B$15="","",'Годовые данные'!$B$15*$I$3)</f>
        <v>250.61</v>
      </c>
      <c r="D159" s="5">
        <f>IF('Годовые данные'!$C$15="","",'Годовые данные'!$C$15*$I$3)</f>
        <v>69.36</v>
      </c>
      <c r="E159" s="4">
        <f>IF('Годовые данные'!$D$15="","",'Годовые данные'!$D$15*$J$3)</f>
        <v>6.7494999999999999E-2</v>
      </c>
      <c r="F159" s="6">
        <f>IF('Годовые данные'!$E$15="","",'Годовые данные'!$E$15*$J$3)</f>
        <v>2.6499999999999999E-2</v>
      </c>
      <c r="G159" s="1"/>
      <c r="H159" s="1"/>
      <c r="I159" s="1"/>
      <c r="J159" s="1"/>
    </row>
    <row r="160" spans="1:10">
      <c r="A160" s="3">
        <v>2021</v>
      </c>
      <c r="B160" s="1" t="s">
        <v>10</v>
      </c>
      <c r="C160" s="4">
        <f>IF('Годовые данные'!$B$15="","",'Годовые данные'!$B$15*$I$4)</f>
        <v>501.22</v>
      </c>
      <c r="D160" s="5">
        <f>IF('Годовые данные'!$C$15="","",'Годовые данные'!$C$15*$I$4)</f>
        <v>138.72</v>
      </c>
      <c r="E160" s="4">
        <f>IF('Годовые данные'!$D$15="","",'Годовые данные'!$D$15*$J$4)</f>
        <v>0.13499</v>
      </c>
      <c r="F160" s="6">
        <f>IF('Годовые данные'!$E$15="","",'Годовые данные'!$E$15*$J$4)</f>
        <v>5.2999999999999999E-2</v>
      </c>
      <c r="G160" s="1"/>
      <c r="H160" s="1"/>
      <c r="I160" s="1"/>
      <c r="J160" s="1"/>
    </row>
    <row r="161" spans="1:10">
      <c r="A161" s="3">
        <v>2021</v>
      </c>
      <c r="B161" s="1" t="s">
        <v>11</v>
      </c>
      <c r="C161" s="4">
        <f>IF('Годовые данные'!$B$15="","",'Годовые данные'!$B$15*$I$5)</f>
        <v>1002.44</v>
      </c>
      <c r="D161" s="5">
        <f>IF('Годовые данные'!$C$15="","",'Годовые данные'!$C$15*$I$5)</f>
        <v>277.44</v>
      </c>
      <c r="E161" s="4">
        <f>IF('Годовые данные'!$D$15="","",'Годовые данные'!$D$15*$J$5)</f>
        <v>0.13499</v>
      </c>
      <c r="F161" s="6">
        <f>IF('Годовые данные'!$E$15="","",'Годовые данные'!$E$15*$J$5)</f>
        <v>5.2999999999999999E-2</v>
      </c>
      <c r="G161" s="1"/>
      <c r="H161" s="1"/>
      <c r="I161" s="1"/>
      <c r="J161" s="1"/>
    </row>
    <row r="162" spans="1:10">
      <c r="A162" s="3">
        <v>2021</v>
      </c>
      <c r="B162" s="1" t="s">
        <v>12</v>
      </c>
      <c r="C162" s="4">
        <f>IF('Годовые данные'!$B$15="","",'Годовые данные'!$B$15*$I$6)</f>
        <v>2506.1000000000004</v>
      </c>
      <c r="D162" s="5">
        <f>IF('Годовые данные'!$C$15="","",'Годовые данные'!$C$15*$I$6)</f>
        <v>693.6</v>
      </c>
      <c r="E162" s="4">
        <f>IF('Годовые данные'!$D$15="","",'Годовые данные'!$D$15*$J$6)</f>
        <v>0.26998</v>
      </c>
      <c r="F162" s="6">
        <f>IF('Годовые данные'!$E$15="","",'Годовые данные'!$E$15*$J$6)</f>
        <v>0.106</v>
      </c>
      <c r="G162" s="1"/>
      <c r="H162" s="1"/>
      <c r="I162" s="1"/>
      <c r="J162" s="1"/>
    </row>
    <row r="163" spans="1:10">
      <c r="A163" s="3">
        <v>2021</v>
      </c>
      <c r="B163" s="1" t="s">
        <v>13</v>
      </c>
      <c r="C163" s="4">
        <f>IF('Годовые данные'!$B$15="","",'Годовые данные'!$B$15*$I$7)</f>
        <v>4510.9799999999996</v>
      </c>
      <c r="D163" s="5">
        <f>IF('Годовые данные'!$C$15="","",'Годовые данные'!$C$15*$I$7)</f>
        <v>1248.48</v>
      </c>
      <c r="E163" s="4">
        <f>IF('Годовые данные'!$D$15="","",'Годовые данные'!$D$15*$J$7)</f>
        <v>0.53996</v>
      </c>
      <c r="F163" s="6">
        <f>IF('Годовые данные'!$E$15="","",'Годовые данные'!$E$15*$J$7)</f>
        <v>0.21199999999999999</v>
      </c>
      <c r="G163" s="1"/>
      <c r="H163" s="1"/>
      <c r="I163" s="1"/>
      <c r="J163" s="1"/>
    </row>
    <row r="164" spans="1:10">
      <c r="A164" s="3">
        <v>2021</v>
      </c>
      <c r="B164" s="1" t="s">
        <v>14</v>
      </c>
      <c r="C164" s="4">
        <f>IF('Годовые данные'!$B$15="","",'Годовые данные'!$B$15*$I$8)</f>
        <v>5513.42</v>
      </c>
      <c r="D164" s="5">
        <f>IF('Годовые данные'!$C$15="","",'Годовые данные'!$C$15*$I$8)</f>
        <v>1525.92</v>
      </c>
      <c r="E164" s="4">
        <f>IF('Годовые данные'!$D$15="","",'Годовые данные'!$D$15*$J$8)</f>
        <v>1.61988</v>
      </c>
      <c r="F164" s="6">
        <f>IF('Годовые данные'!$E$15="","",'Годовые данные'!$E$15*$J$8)</f>
        <v>0.63600000000000001</v>
      </c>
      <c r="G164" s="1"/>
      <c r="H164" s="1"/>
      <c r="I164" s="1"/>
      <c r="J164" s="1"/>
    </row>
    <row r="165" spans="1:10">
      <c r="A165" s="3">
        <v>2021</v>
      </c>
      <c r="B165" s="1" t="s">
        <v>15</v>
      </c>
      <c r="C165" s="4">
        <f>IF('Годовые данные'!$B$15="","",'Годовые данные'!$B$15*$I$9)</f>
        <v>4761.59</v>
      </c>
      <c r="D165" s="5">
        <f>IF('Годовые данные'!$C$15="","",'Годовые данные'!$C$15*$I$9)</f>
        <v>1317.84</v>
      </c>
      <c r="E165" s="4">
        <f>IF('Годовые данные'!$D$15="","",'Годовые данные'!$D$15*$J$9)</f>
        <v>3.5097400000000003</v>
      </c>
      <c r="F165" s="6">
        <f>IF('Годовые данные'!$E$15="","",'Годовые данные'!$E$15*$J$9)</f>
        <v>1.3779999999999999</v>
      </c>
      <c r="G165" s="1"/>
      <c r="H165" s="1"/>
      <c r="I165" s="1"/>
      <c r="J165" s="1"/>
    </row>
    <row r="166" spans="1:10">
      <c r="A166" s="3">
        <v>2021</v>
      </c>
      <c r="B166" s="1" t="s">
        <v>16</v>
      </c>
      <c r="C166" s="4">
        <f>IF('Годовые данные'!$B$15="","",'Годовые данные'!$B$15*$I$10)</f>
        <v>3257.9300000000003</v>
      </c>
      <c r="D166" s="5">
        <f>IF('Годовые данные'!$C$15="","",'Годовые данные'!$C$15*$I$10)</f>
        <v>901.68000000000006</v>
      </c>
      <c r="E166" s="4">
        <f>IF('Годовые данные'!$D$15="","",'Годовые данные'!$D$15*$J$10)</f>
        <v>3.3747500000000001</v>
      </c>
      <c r="F166" s="6">
        <f>IF('Годовые данные'!$E$15="","",'Годовые данные'!$E$15*$J$10)</f>
        <v>1.325</v>
      </c>
      <c r="G166" s="1"/>
      <c r="H166" s="1"/>
      <c r="I166" s="1"/>
      <c r="J166" s="1"/>
    </row>
    <row r="167" spans="1:10">
      <c r="A167" s="3">
        <v>2021</v>
      </c>
      <c r="B167" s="1" t="s">
        <v>17</v>
      </c>
      <c r="C167" s="4">
        <f>IF('Годовые данные'!$B$15="","",'Годовые данные'!$B$15*$I$11)</f>
        <v>1503.6599999999999</v>
      </c>
      <c r="D167" s="5">
        <f>IF('Годовые данные'!$C$15="","",'Годовые данные'!$C$15*$I$11)</f>
        <v>416.15999999999997</v>
      </c>
      <c r="E167" s="4">
        <f>IF('Годовые данные'!$D$15="","",'Годовые данные'!$D$15*$J$11)</f>
        <v>2.0248499999999998</v>
      </c>
      <c r="F167" s="6">
        <f>IF('Годовые данные'!$E$15="","",'Годовые данные'!$E$15*$J$11)</f>
        <v>0.79499999999999993</v>
      </c>
      <c r="G167" s="1"/>
      <c r="H167" s="1"/>
      <c r="I167" s="1"/>
      <c r="J167" s="1"/>
    </row>
    <row r="168" spans="1:10">
      <c r="A168" s="3">
        <v>2021</v>
      </c>
      <c r="B168" s="1" t="s">
        <v>18</v>
      </c>
      <c r="C168" s="4">
        <f>IF('Годовые данные'!$B$15="","",'Годовые данные'!$B$15*$I$12)</f>
        <v>751.82999999999993</v>
      </c>
      <c r="D168" s="5">
        <f>IF('Годовые данные'!$C$15="","",'Годовые данные'!$C$15*$I$12)</f>
        <v>208.07999999999998</v>
      </c>
      <c r="E168" s="4">
        <f>IF('Годовые данные'!$D$15="","",'Годовые данные'!$D$15*$J$12)</f>
        <v>1.07992</v>
      </c>
      <c r="F168" s="6">
        <f>IF('Годовые данные'!$E$15="","",'Годовые данные'!$E$15*$J$12)</f>
        <v>0.42399999999999999</v>
      </c>
      <c r="G168" s="1"/>
      <c r="H168" s="1"/>
      <c r="I168" s="1"/>
      <c r="J168" s="1"/>
    </row>
    <row r="169" spans="1:10">
      <c r="A169" s="3">
        <v>2021</v>
      </c>
      <c r="B169" s="1" t="s">
        <v>19</v>
      </c>
      <c r="C169" s="4">
        <f>IF('Годовые данные'!$B$15="","",'Годовые данные'!$B$15*$I$13)</f>
        <v>250.61</v>
      </c>
      <c r="D169" s="5">
        <f>IF('Годовые данные'!$C$15="","",'Годовые данные'!$C$15*$I$13)</f>
        <v>69.36</v>
      </c>
      <c r="E169" s="4">
        <f>IF('Годовые данные'!$D$15="","",'Годовые данные'!$D$15*$J$13)</f>
        <v>0.67495000000000005</v>
      </c>
      <c r="F169" s="6">
        <f>IF('Годовые данные'!$E$15="","",'Годовые данные'!$E$15*$J$13)</f>
        <v>0.26500000000000001</v>
      </c>
      <c r="G169" s="1"/>
      <c r="H169" s="1"/>
      <c r="I169" s="1"/>
      <c r="J1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5" sqref="D15"/>
    </sheetView>
  </sheetViews>
  <sheetFormatPr baseColWidth="10" defaultColWidth="8.83203125" defaultRowHeight="15"/>
  <cols>
    <col min="1" max="1" width="16" customWidth="1"/>
    <col min="2" max="2" width="75" customWidth="1"/>
    <col min="3" max="5" width="25" customWidth="1"/>
  </cols>
  <sheetData>
    <row r="1" spans="1:5" ht="34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>
      <c r="A2" s="3">
        <v>2008</v>
      </c>
      <c r="B2" s="4">
        <v>4013.99</v>
      </c>
      <c r="C2" s="5">
        <v>745.5</v>
      </c>
      <c r="D2" s="4">
        <v>3.2120000000000002</v>
      </c>
      <c r="E2" s="5">
        <v>1</v>
      </c>
    </row>
    <row r="3" spans="1:5">
      <c r="A3" s="3">
        <v>2009</v>
      </c>
      <c r="B3" s="4">
        <v>7592</v>
      </c>
      <c r="C3" s="5">
        <v>1515.7</v>
      </c>
      <c r="D3" s="4">
        <v>130</v>
      </c>
      <c r="E3" s="5">
        <v>9.4</v>
      </c>
    </row>
    <row r="4" spans="1:5">
      <c r="A4" s="3">
        <v>2010</v>
      </c>
      <c r="B4" s="4">
        <v>19439</v>
      </c>
      <c r="C4" s="5">
        <v>3045.4</v>
      </c>
      <c r="D4" s="4">
        <f>D3+(D6-D3)/3</f>
        <v>109.41866666666667</v>
      </c>
      <c r="E4" s="5">
        <f>E3+(E6-E3)/3</f>
        <v>15.133333333333335</v>
      </c>
    </row>
    <row r="5" spans="1:5">
      <c r="A5" s="3">
        <v>2011</v>
      </c>
      <c r="B5" s="4">
        <v>9252</v>
      </c>
      <c r="C5" s="5">
        <v>1656</v>
      </c>
      <c r="D5" s="4">
        <f>D3+2*(D6-D3)/3</f>
        <v>88.837333333333333</v>
      </c>
      <c r="E5" s="5">
        <f>E3+2*(E6-E3)/3</f>
        <v>20.866666666666667</v>
      </c>
    </row>
    <row r="6" spans="1:5">
      <c r="A6" s="3">
        <v>2012</v>
      </c>
      <c r="B6" s="4">
        <v>10353.554</v>
      </c>
      <c r="C6" s="5">
        <v>2319.1</v>
      </c>
      <c r="D6" s="4">
        <v>68.256</v>
      </c>
      <c r="E6" s="5">
        <v>26.6</v>
      </c>
    </row>
    <row r="7" spans="1:5">
      <c r="A7" s="3">
        <v>2013</v>
      </c>
      <c r="B7" s="4">
        <v>15351</v>
      </c>
      <c r="C7" s="5">
        <v>3199.7</v>
      </c>
      <c r="D7" s="4">
        <v>23</v>
      </c>
      <c r="E7" s="5">
        <v>10.5</v>
      </c>
    </row>
    <row r="8" spans="1:5">
      <c r="A8" s="3">
        <v>2014</v>
      </c>
      <c r="B8" s="4">
        <v>19051</v>
      </c>
      <c r="C8" s="5">
        <v>4901.1000000000004</v>
      </c>
      <c r="D8" s="4">
        <v>289</v>
      </c>
      <c r="E8" s="5">
        <v>73.2</v>
      </c>
    </row>
    <row r="9" spans="1:5">
      <c r="A9" s="3">
        <v>2015</v>
      </c>
      <c r="B9" s="4">
        <v>21921</v>
      </c>
      <c r="C9" s="5">
        <v>4225.8</v>
      </c>
      <c r="D9" s="4">
        <v>512</v>
      </c>
      <c r="E9" s="5">
        <v>95.1</v>
      </c>
    </row>
    <row r="10" spans="1:5">
      <c r="A10" s="3">
        <v>2016</v>
      </c>
      <c r="B10" s="4">
        <v>17916</v>
      </c>
      <c r="C10" s="5">
        <v>4522.8</v>
      </c>
      <c r="D10" s="4">
        <v>83</v>
      </c>
      <c r="E10" s="5">
        <v>14</v>
      </c>
    </row>
    <row r="11" spans="1:5">
      <c r="A11" s="3">
        <v>2017</v>
      </c>
      <c r="B11" s="4">
        <v>24780</v>
      </c>
      <c r="C11" s="5">
        <v>4585</v>
      </c>
      <c r="D11" s="4">
        <v>297</v>
      </c>
      <c r="E11" s="5">
        <v>63.7</v>
      </c>
    </row>
    <row r="12" spans="1:5">
      <c r="A12" s="3">
        <v>2018</v>
      </c>
      <c r="B12" s="4">
        <v>31129</v>
      </c>
      <c r="C12" s="5">
        <v>3865.1</v>
      </c>
      <c r="D12" s="4">
        <v>340</v>
      </c>
      <c r="E12" s="5">
        <v>75.400000000000006</v>
      </c>
    </row>
    <row r="13" spans="1:5">
      <c r="A13" s="3">
        <v>2019</v>
      </c>
      <c r="B13" s="4">
        <v>29533</v>
      </c>
      <c r="C13" s="5">
        <v>4279.3</v>
      </c>
      <c r="D13" s="4">
        <v>59.5</v>
      </c>
      <c r="E13" s="5">
        <v>18.5</v>
      </c>
    </row>
    <row r="14" spans="1:5">
      <c r="A14" s="3">
        <v>2020</v>
      </c>
      <c r="B14" s="4">
        <v>21759</v>
      </c>
      <c r="C14" s="5">
        <v>5157.3</v>
      </c>
      <c r="D14" s="4">
        <v>15.319000000000001</v>
      </c>
      <c r="E14" s="5">
        <v>5.9</v>
      </c>
    </row>
    <row r="15" spans="1:5">
      <c r="A15" s="3">
        <v>2021</v>
      </c>
      <c r="B15" s="4">
        <v>25061</v>
      </c>
      <c r="C15" s="5">
        <v>6936</v>
      </c>
      <c r="D15" s="4">
        <v>13.499000000000001</v>
      </c>
      <c r="E15" s="5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Месячные данные</vt:lpstr>
      <vt:lpstr>Годовые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Markovtsev</cp:lastModifiedBy>
  <dcterms:created xsi:type="dcterms:W3CDTF">2026-10-26T13:15:52Z</dcterms:created>
  <dcterms:modified xsi:type="dcterms:W3CDTF">2026-10-26T13:38:16Z</dcterms:modified>
</cp:coreProperties>
</file>